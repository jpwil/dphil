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wilson/Library/CloudStorage/OneDrive-Personal/Documents/DPhil/vl relapse model/final tables and figures/"/>
    </mc:Choice>
  </mc:AlternateContent>
  <xr:revisionPtr revIDLastSave="0" documentId="13_ncr:1_{3E683A4C-FB6E-EF48-9DB1-BA97F065BFF1}" xr6:coauthVersionLast="47" xr6:coauthVersionMax="47" xr10:uidLastSave="{00000000-0000-0000-0000-000000000000}"/>
  <bookViews>
    <workbookView xWindow="-4500" yWindow="-20980" windowWidth="28040" windowHeight="17240" activeTab="3" xr2:uid="{1438F0CC-15CB-944D-B22F-E2A729732D59}"/>
  </bookViews>
  <sheets>
    <sheet name="missingess by participant" sheetId="1" r:id="rId1"/>
    <sheet name="missingness by variable" sheetId="2" r:id="rId2"/>
    <sheet name="missingness by study (total)" sheetId="3" r:id="rId3"/>
    <sheet name="missingness by study (percent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</calcChain>
</file>

<file path=xl/sharedStrings.xml><?xml version="1.0" encoding="utf-8"?>
<sst xmlns="http://schemas.openxmlformats.org/spreadsheetml/2006/main" count="136" uniqueCount="65">
  <si>
    <t>Number of predictors missing</t>
  </si>
  <si>
    <t>Number of participants</t>
  </si>
  <si>
    <t>Percentage of all participants</t>
  </si>
  <si>
    <t>total</t>
  </si>
  <si>
    <t>relapse</t>
  </si>
  <si>
    <t>sex</t>
  </si>
  <si>
    <t>age</t>
  </si>
  <si>
    <t>weight</t>
  </si>
  <si>
    <t>height</t>
  </si>
  <si>
    <t>malnutrition</t>
  </si>
  <si>
    <t>treatment</t>
  </si>
  <si>
    <t>fever duration</t>
  </si>
  <si>
    <t>spleen length</t>
  </si>
  <si>
    <t>parasite density</t>
  </si>
  <si>
    <t>haemoglobin</t>
  </si>
  <si>
    <t>white blood cells</t>
  </si>
  <si>
    <t>platelet count</t>
  </si>
  <si>
    <t>creatinine</t>
  </si>
  <si>
    <t>alanine aminotransferase</t>
  </si>
  <si>
    <t>Variable</t>
  </si>
  <si>
    <t>Number</t>
  </si>
  <si>
    <t>STUDY_NAME</t>
  </si>
  <si>
    <t>Rijal 2010(A)</t>
  </si>
  <si>
    <t>VAQMOU</t>
  </si>
  <si>
    <t>Rijal 2003</t>
  </si>
  <si>
    <t>VDXALE</t>
  </si>
  <si>
    <t>Sundar 2008(A)</t>
  </si>
  <si>
    <t>VEZMZD</t>
  </si>
  <si>
    <t>Sundar 2009</t>
  </si>
  <si>
    <t>VFEFCS</t>
  </si>
  <si>
    <t>Koirala 2003</t>
  </si>
  <si>
    <t>VFETIZ</t>
  </si>
  <si>
    <t>Chakraborty 2008</t>
  </si>
  <si>
    <t>VFFFOP</t>
  </si>
  <si>
    <t>Rijal 2010(B)</t>
  </si>
  <si>
    <t>VGKSTG</t>
  </si>
  <si>
    <t>Sundar 2014</t>
  </si>
  <si>
    <t>VIVXJN</t>
  </si>
  <si>
    <t>Bhattacharya 2007</t>
  </si>
  <si>
    <t>VIZGFA</t>
  </si>
  <si>
    <t>Sundar 2010</t>
  </si>
  <si>
    <t>VLAULV</t>
  </si>
  <si>
    <t>Pandey 2017</t>
  </si>
  <si>
    <t>VLEALTT</t>
  </si>
  <si>
    <t>Das 2009</t>
  </si>
  <si>
    <t>VLNXMEA</t>
  </si>
  <si>
    <t>Pandey 2016</t>
  </si>
  <si>
    <t>VLZUKHR</t>
  </si>
  <si>
    <t>Sundar 2008(B)</t>
  </si>
  <si>
    <t>VQKRHN</t>
  </si>
  <si>
    <t>Sundar 2015</t>
  </si>
  <si>
    <t>VRBQIF</t>
  </si>
  <si>
    <t>Sundar 2019</t>
  </si>
  <si>
    <t>VSGPDL</t>
  </si>
  <si>
    <t>Sundar 2011</t>
  </si>
  <si>
    <t>VLNAZSK/VVNGOE</t>
  </si>
  <si>
    <t>Sundar 2007</t>
  </si>
  <si>
    <t>VWPJRM</t>
  </si>
  <si>
    <t>Sundar 2012</t>
  </si>
  <si>
    <t>VYDSGR</t>
  </si>
  <si>
    <t>Total</t>
  </si>
  <si>
    <t>Percent</t>
  </si>
  <si>
    <t>Column1</t>
  </si>
  <si>
    <t>IDDO DATASET CODE</t>
  </si>
  <si>
    <t>total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</si>
</sst>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6922C6-23BC-B545-B73B-5A67A6C54063}" name="Table3" displayName="Table3" ref="A1:C12" totalsRowShown="0">
  <autoFilter ref="A1:C12" xr:uid="{DE6922C6-23BC-B545-B73B-5A67A6C54063}"/>
  <tableColumns count="3">
    <tableColumn id="1" xr3:uid="{CDF1FF7A-F900-4640-9A0F-8A1810B00163}" name="Number of predictors missing"/>
    <tableColumn id="2" xr3:uid="{772994AB-A74E-B04A-BC19-5A8CFB0DC9A4}" name="Number of participants"/>
    <tableColumn id="3" xr3:uid="{E2318E95-2695-9D4C-A850-E8210354769C}" name="Percentage of all participant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0DB50A-F6E0-D643-A246-4F4C9CFEE814}" name="Table4" displayName="Table4" ref="A1:D17" totalsRowShown="0">
  <autoFilter ref="A1:D17" xr:uid="{780DB50A-F6E0-D643-A246-4F4C9CFEE814}"/>
  <sortState xmlns:xlrd2="http://schemas.microsoft.com/office/spreadsheetml/2017/richdata2" ref="A2:C17">
    <sortCondition ref="C1:C17"/>
  </sortState>
  <tableColumns count="4">
    <tableColumn id="1" xr3:uid="{A109D30D-2BC8-D041-AE6E-79C3F5F5CB75}" name="Variable"/>
    <tableColumn id="2" xr3:uid="{2C48813F-8E79-0044-8FD9-3A51E0667F91}" name="Number"/>
    <tableColumn id="3" xr3:uid="{99FCFE74-A253-E44D-B541-E3B6ED2383AC}" name="Percent"/>
    <tableColumn id="4" xr3:uid="{3BE9B73C-A9A9-1747-8AE5-637736AAD775}" name="Column1" dataDxfId="20">
      <calculatedColumnFormula>100-Table4[[#This Row],[Percent]]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5AB15-2A0C-234C-A8F3-6BFDAB98B2D0}" name="Table2" displayName="Table2" ref="A1:R20" totalsRowShown="0" headerRowDxfId="19" dataDxfId="18">
  <autoFilter ref="A1:R20" xr:uid="{6455AB15-2A0C-234C-A8F3-6BFDAB98B2D0}"/>
  <sortState xmlns:xlrd2="http://schemas.microsoft.com/office/spreadsheetml/2017/richdata2" ref="A2:R20">
    <sortCondition ref="A1:A20"/>
  </sortState>
  <tableColumns count="18">
    <tableColumn id="1" xr3:uid="{264A63BB-DB1A-BF40-8D8F-55481B52130A}" name="STUDY_NAME" dataDxfId="17"/>
    <tableColumn id="2" xr3:uid="{70375442-562B-DE4C-BC93-376504C179E4}" name="IDDO DATASET CODE" dataDxfId="16"/>
    <tableColumn id="3" xr3:uid="{63A533D5-AAD3-F74A-B1E8-3719E89E09CC}" name="total participants" dataDxfId="15"/>
    <tableColumn id="4" xr3:uid="{47FAF0B4-958D-AD42-9002-CBFCDD7293F6}" name="relapse" dataDxfId="14"/>
    <tableColumn id="5" xr3:uid="{8DF3CB1A-A02F-6346-AF8E-BC5F86CC61DF}" name="sex" dataDxfId="13"/>
    <tableColumn id="6" xr3:uid="{371FA742-EC66-8A42-9EF6-27DEC1FC435B}" name="age" dataDxfId="12"/>
    <tableColumn id="7" xr3:uid="{6CAD755E-0C4B-F24F-8912-445968380F17}" name="weight" dataDxfId="11"/>
    <tableColumn id="8" xr3:uid="{0B4A3628-097C-2F46-8B17-6D233CFB4C9F}" name="height" dataDxfId="10"/>
    <tableColumn id="9" xr3:uid="{221506F0-1B2F-6545-9A61-F4C86628BAC4}" name="malnutrition" dataDxfId="9"/>
    <tableColumn id="10" xr3:uid="{F2CC311C-8475-7A4C-B15D-B72F03234D63}" name="treatment" dataDxfId="8"/>
    <tableColumn id="11" xr3:uid="{12FA7D32-3E21-494E-819F-AD578F5B88E9}" name="fever duration" dataDxfId="7"/>
    <tableColumn id="12" xr3:uid="{BE8E9DE5-599D-5C46-8E74-749DDA61FFEB}" name="spleen length" dataDxfId="6"/>
    <tableColumn id="13" xr3:uid="{987EFECC-FA36-E34D-8BBC-458502FB79CF}" name="parasite density" dataDxfId="5"/>
    <tableColumn id="14" xr3:uid="{1E918AE7-CCFE-A14F-958F-E99D095ED3DA}" name="haemoglobin" dataDxfId="4"/>
    <tableColumn id="15" xr3:uid="{F08731F4-570C-A843-A767-7B51201C9A6C}" name="white blood cells" dataDxfId="3"/>
    <tableColumn id="16" xr3:uid="{D193D652-F44D-BE46-98F3-FE66DA6FCC7F}" name="platelet count" dataDxfId="2"/>
    <tableColumn id="17" xr3:uid="{8673BB2D-FEC1-114F-857B-3855379361C0}" name="creatinine" dataDxfId="1"/>
    <tableColumn id="18" xr3:uid="{D95AEF6B-FEE7-4C43-AE25-11AC454CD269}" name="alanine aminotransferase" dataDxfId="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F61F0-F769-C942-BB1B-255251F0A18F}" name="Table1" displayName="Table1" ref="A1:R20" totalsRowShown="0">
  <autoFilter ref="A1:R20" xr:uid="{888F61F0-F769-C942-BB1B-255251F0A18F}"/>
  <sortState xmlns:xlrd2="http://schemas.microsoft.com/office/spreadsheetml/2017/richdata2" ref="A2:R20">
    <sortCondition ref="A1:A20"/>
  </sortState>
  <tableColumns count="18">
    <tableColumn id="1" xr3:uid="{4CD2C23B-5106-7D45-80E8-374956203E0A}" name="STUDY_NAME"/>
    <tableColumn id="2" xr3:uid="{DFE36F31-2913-554F-A9FA-B6811E1F5FF6}" name="IDDO DATASET CODE"/>
    <tableColumn id="3" xr3:uid="{76E69AA7-2DFD-A841-94EB-3B8C9C9277E0}" name="total participants"/>
    <tableColumn id="4" xr3:uid="{80B00451-8972-A047-A619-F144CD819D58}" name="relapse"/>
    <tableColumn id="5" xr3:uid="{727700A3-B8FE-1C43-97F4-53F26D953840}" name="sex"/>
    <tableColumn id="6" xr3:uid="{9FC30B11-60BC-D74E-9718-FA6A03F04048}" name="age"/>
    <tableColumn id="7" xr3:uid="{2CCC76B4-C8F2-D049-95FD-FD81429C9C10}" name="weight"/>
    <tableColumn id="8" xr3:uid="{BB6A9A61-30A7-F146-94C3-EB3FB0560C3E}" name="height"/>
    <tableColumn id="9" xr3:uid="{DBA1CBAB-8F45-1A40-B46D-3032501BDECD}" name="malnutrition"/>
    <tableColumn id="10" xr3:uid="{62FE53D8-2B71-B442-8F05-9662DD4108B4}" name="treatment"/>
    <tableColumn id="11" xr3:uid="{F45C3BBE-D980-574A-B4E9-37C75674DE26}" name="fever duration"/>
    <tableColumn id="12" xr3:uid="{7979C690-3681-DB48-9D05-0BEA5A7A1748}" name="spleen length"/>
    <tableColumn id="13" xr3:uid="{01489873-9B9C-8E40-85FB-2336E8F9C860}" name="parasite density"/>
    <tableColumn id="14" xr3:uid="{C2F44EFA-9CFE-7044-85DC-0CCA74883E64}" name="haemoglobin"/>
    <tableColumn id="15" xr3:uid="{3AF4D36F-ED1D-504A-BDD4-CF2F0A98BA2F}" name="white blood cells"/>
    <tableColumn id="16" xr3:uid="{8201DF22-0800-7E48-B5CD-B22A4EF901A5}" name="platelet count"/>
    <tableColumn id="17" xr3:uid="{6D077C43-DBDC-F443-AB4B-D372D27AA135}" name="creatinine"/>
    <tableColumn id="18" xr3:uid="{C86AD4E1-B12B-E543-AF8B-F7C3D9BEC9DE}" name="alanine aminotransferas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A0A4-B22C-8B49-8D60-DCA287D02E17}">
  <dimension ref="A1:C13"/>
  <sheetViews>
    <sheetView workbookViewId="0">
      <selection activeCell="F20" sqref="F20"/>
    </sheetView>
  </sheetViews>
  <sheetFormatPr baseColWidth="10" defaultColWidth="11" defaultRowHeight="16" x14ac:dyDescent="0.2"/>
  <cols>
    <col min="1" max="1" width="28" customWidth="1"/>
    <col min="2" max="2" width="22.5" customWidth="1"/>
    <col min="3" max="3" width="27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902</v>
      </c>
      <c r="C2">
        <v>19.61295934</v>
      </c>
    </row>
    <row r="3" spans="1:3" x14ac:dyDescent="0.2">
      <c r="A3">
        <v>1</v>
      </c>
      <c r="B3">
        <v>1129</v>
      </c>
      <c r="C3">
        <v>24.548814960000001</v>
      </c>
    </row>
    <row r="4" spans="1:3" x14ac:dyDescent="0.2">
      <c r="A4">
        <v>2</v>
      </c>
      <c r="B4">
        <v>972</v>
      </c>
      <c r="C4">
        <v>21.13502935</v>
      </c>
    </row>
    <row r="5" spans="1:3" x14ac:dyDescent="0.2">
      <c r="A5">
        <v>3</v>
      </c>
      <c r="B5">
        <v>750</v>
      </c>
      <c r="C5">
        <v>16.307893020000002</v>
      </c>
    </row>
    <row r="6" spans="1:3" x14ac:dyDescent="0.2">
      <c r="A6">
        <v>4</v>
      </c>
      <c r="B6">
        <v>396</v>
      </c>
      <c r="C6">
        <v>8.6105675149999996</v>
      </c>
    </row>
    <row r="7" spans="1:3" x14ac:dyDescent="0.2">
      <c r="A7">
        <v>5</v>
      </c>
      <c r="B7">
        <v>19</v>
      </c>
      <c r="C7">
        <v>0.41313328999999999</v>
      </c>
    </row>
    <row r="8" spans="1:3" x14ac:dyDescent="0.2">
      <c r="A8">
        <v>6</v>
      </c>
      <c r="B8">
        <v>5</v>
      </c>
      <c r="C8">
        <v>0.108719287</v>
      </c>
    </row>
    <row r="9" spans="1:3" x14ac:dyDescent="0.2">
      <c r="A9">
        <v>7</v>
      </c>
      <c r="B9">
        <v>36</v>
      </c>
      <c r="C9">
        <v>0.78277886500000005</v>
      </c>
    </row>
    <row r="10" spans="1:3" x14ac:dyDescent="0.2">
      <c r="A10">
        <v>8</v>
      </c>
      <c r="B10">
        <v>385</v>
      </c>
      <c r="C10">
        <v>8.3713850839999999</v>
      </c>
    </row>
    <row r="11" spans="1:3" x14ac:dyDescent="0.2">
      <c r="A11">
        <v>9</v>
      </c>
      <c r="B11">
        <v>4</v>
      </c>
      <c r="C11">
        <v>8.6975429000000007E-2</v>
      </c>
    </row>
    <row r="12" spans="1:3" x14ac:dyDescent="0.2">
      <c r="A12">
        <v>10</v>
      </c>
      <c r="B12">
        <v>1</v>
      </c>
      <c r="C12">
        <v>2.1743856999999998E-2</v>
      </c>
    </row>
    <row r="13" spans="1:3" x14ac:dyDescent="0.2">
      <c r="A13" t="s">
        <v>60</v>
      </c>
      <c r="B13">
        <v>4599</v>
      </c>
      <c r="C13">
        <v>100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1512-29E5-3948-85C6-CA9C09D4F240}">
  <dimension ref="A1:D17"/>
  <sheetViews>
    <sheetView workbookViewId="0">
      <selection activeCell="F8" sqref="F8"/>
    </sheetView>
  </sheetViews>
  <sheetFormatPr baseColWidth="10" defaultRowHeight="16" x14ac:dyDescent="0.2"/>
  <cols>
    <col min="1" max="1" width="22" bestFit="1" customWidth="1"/>
  </cols>
  <sheetData>
    <row r="1" spans="1:4" x14ac:dyDescent="0.2">
      <c r="A1" t="s">
        <v>19</v>
      </c>
      <c r="B1" t="s">
        <v>20</v>
      </c>
      <c r="C1" t="s">
        <v>61</v>
      </c>
      <c r="D1" t="s">
        <v>62</v>
      </c>
    </row>
    <row r="2" spans="1:4" x14ac:dyDescent="0.2">
      <c r="A2" t="s">
        <v>9</v>
      </c>
      <c r="B2">
        <v>2679</v>
      </c>
      <c r="C2">
        <v>58.25179387</v>
      </c>
      <c r="D2">
        <f>100-Table4[[#This Row],[Percent]]</f>
        <v>41.74820613</v>
      </c>
    </row>
    <row r="3" spans="1:4" x14ac:dyDescent="0.2">
      <c r="A3" t="s">
        <v>8</v>
      </c>
      <c r="B3">
        <v>2685</v>
      </c>
      <c r="C3">
        <v>58.382257009999996</v>
      </c>
      <c r="D3">
        <f>100-Table4[[#This Row],[Percent]]</f>
        <v>41.617742990000004</v>
      </c>
    </row>
    <row r="4" spans="1:4" x14ac:dyDescent="0.2">
      <c r="A4" t="s">
        <v>11</v>
      </c>
      <c r="B4">
        <v>2820</v>
      </c>
      <c r="C4">
        <v>61.317677760000002</v>
      </c>
      <c r="D4">
        <f>100-Table4[[#This Row],[Percent]]</f>
        <v>38.682322239999998</v>
      </c>
    </row>
    <row r="5" spans="1:4" x14ac:dyDescent="0.2">
      <c r="A5" t="s">
        <v>13</v>
      </c>
      <c r="B5">
        <v>2952</v>
      </c>
      <c r="C5">
        <v>64.187866929999998</v>
      </c>
      <c r="D5">
        <f>100-Table4[[#This Row],[Percent]]</f>
        <v>35.812133070000002</v>
      </c>
    </row>
    <row r="6" spans="1:4" x14ac:dyDescent="0.2">
      <c r="A6" t="s">
        <v>17</v>
      </c>
      <c r="B6">
        <v>3953</v>
      </c>
      <c r="C6">
        <v>85.953468150000006</v>
      </c>
      <c r="D6">
        <f>100-Table4[[#This Row],[Percent]]</f>
        <v>14.046531849999994</v>
      </c>
    </row>
    <row r="7" spans="1:4" x14ac:dyDescent="0.2">
      <c r="A7" t="s">
        <v>12</v>
      </c>
      <c r="B7">
        <v>3957</v>
      </c>
      <c r="C7">
        <v>86.040443569999994</v>
      </c>
      <c r="D7">
        <f>100-Table4[[#This Row],[Percent]]</f>
        <v>13.959556430000006</v>
      </c>
    </row>
    <row r="8" spans="1:4" x14ac:dyDescent="0.2">
      <c r="A8" t="s">
        <v>18</v>
      </c>
      <c r="B8">
        <v>4150</v>
      </c>
      <c r="C8">
        <v>90.23700805</v>
      </c>
      <c r="D8">
        <f>100-Table4[[#This Row],[Percent]]</f>
        <v>9.76299195</v>
      </c>
    </row>
    <row r="9" spans="1:4" x14ac:dyDescent="0.2">
      <c r="A9" t="s">
        <v>15</v>
      </c>
      <c r="B9">
        <v>4164</v>
      </c>
      <c r="C9">
        <v>90.541422049999994</v>
      </c>
      <c r="D9">
        <f>100-Table4[[#This Row],[Percent]]</f>
        <v>9.4585779500000058</v>
      </c>
    </row>
    <row r="10" spans="1:4" x14ac:dyDescent="0.2">
      <c r="A10" t="s">
        <v>16</v>
      </c>
      <c r="B10">
        <v>4165</v>
      </c>
      <c r="C10">
        <v>90.563165909999995</v>
      </c>
      <c r="D10">
        <f>100-Table4[[#This Row],[Percent]]</f>
        <v>9.4368340900000049</v>
      </c>
    </row>
    <row r="11" spans="1:4" x14ac:dyDescent="0.2">
      <c r="A11" t="s">
        <v>14</v>
      </c>
      <c r="B11">
        <v>4166</v>
      </c>
      <c r="C11">
        <v>90.584909760000002</v>
      </c>
      <c r="D11">
        <f>100-Table4[[#This Row],[Percent]]</f>
        <v>9.4150902399999978</v>
      </c>
    </row>
    <row r="12" spans="1:4" x14ac:dyDescent="0.2">
      <c r="A12" t="s">
        <v>7</v>
      </c>
      <c r="B12">
        <v>4494</v>
      </c>
      <c r="C12">
        <v>97.716894980000006</v>
      </c>
      <c r="D12">
        <f>100-Table4[[#This Row],[Percent]]</f>
        <v>2.2831050199999936</v>
      </c>
    </row>
    <row r="13" spans="1:4" x14ac:dyDescent="0.2">
      <c r="A13" t="s">
        <v>6</v>
      </c>
      <c r="B13">
        <v>4593</v>
      </c>
      <c r="C13">
        <v>99.869536859999997</v>
      </c>
      <c r="D13">
        <f>100-Table4[[#This Row],[Percent]]</f>
        <v>0.13046314000000336</v>
      </c>
    </row>
    <row r="14" spans="1:4" x14ac:dyDescent="0.2">
      <c r="A14" t="s">
        <v>3</v>
      </c>
      <c r="B14">
        <v>4599</v>
      </c>
      <c r="C14">
        <v>100</v>
      </c>
      <c r="D14">
        <f>100-Table4[[#This Row],[Percent]]</f>
        <v>0</v>
      </c>
    </row>
    <row r="15" spans="1:4" x14ac:dyDescent="0.2">
      <c r="A15" t="s">
        <v>4</v>
      </c>
      <c r="B15">
        <v>4599</v>
      </c>
      <c r="C15">
        <v>100</v>
      </c>
      <c r="D15">
        <f>100-Table4[[#This Row],[Percent]]</f>
        <v>0</v>
      </c>
    </row>
    <row r="16" spans="1:4" x14ac:dyDescent="0.2">
      <c r="A16" t="s">
        <v>5</v>
      </c>
      <c r="B16">
        <v>4599</v>
      </c>
      <c r="C16">
        <v>100</v>
      </c>
      <c r="D16">
        <f>100-Table4[[#This Row],[Percent]]</f>
        <v>0</v>
      </c>
    </row>
    <row r="17" spans="1:4" x14ac:dyDescent="0.2">
      <c r="A17" t="s">
        <v>10</v>
      </c>
      <c r="B17">
        <v>4599</v>
      </c>
      <c r="C17">
        <v>100</v>
      </c>
      <c r="D17">
        <f>100-Table4[[#This Row],[Percent]]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0DC4-F9FD-B444-85B6-C579FF0B57A0}">
  <dimension ref="A1:R20"/>
  <sheetViews>
    <sheetView workbookViewId="0">
      <selection activeCell="B1" sqref="B1"/>
    </sheetView>
  </sheetViews>
  <sheetFormatPr baseColWidth="10" defaultColWidth="14.83203125" defaultRowHeight="16" x14ac:dyDescent="0.2"/>
  <cols>
    <col min="1" max="1" width="16.6640625" bestFit="1" customWidth="1"/>
    <col min="2" max="2" width="16" bestFit="1" customWidth="1"/>
    <col min="3" max="3" width="21.83203125" customWidth="1"/>
    <col min="4" max="4" width="9.83203125" bestFit="1" customWidth="1"/>
    <col min="5" max="5" width="6.5" bestFit="1" customWidth="1"/>
    <col min="6" max="6" width="6.6640625" bestFit="1" customWidth="1"/>
    <col min="7" max="7" width="9.1640625" bestFit="1" customWidth="1"/>
    <col min="8" max="8" width="8.83203125" bestFit="1" customWidth="1"/>
    <col min="9" max="9" width="13.83203125" bestFit="1" customWidth="1"/>
    <col min="10" max="10" width="12" bestFit="1" customWidth="1"/>
    <col min="11" max="11" width="15" bestFit="1" customWidth="1"/>
    <col min="12" max="12" width="14.6640625" bestFit="1" customWidth="1"/>
    <col min="13" max="13" width="16.83203125" bestFit="1" customWidth="1"/>
    <col min="14" max="14" width="14.33203125" bestFit="1" customWidth="1"/>
    <col min="15" max="15" width="17.33203125" bestFit="1" customWidth="1"/>
    <col min="16" max="16" width="15" bestFit="1" customWidth="1"/>
    <col min="17" max="17" width="12" bestFit="1" customWidth="1"/>
    <col min="18" max="18" width="25.1640625" bestFit="1" customWidth="1"/>
  </cols>
  <sheetData>
    <row r="1" spans="1:18" x14ac:dyDescent="0.2">
      <c r="A1" s="1" t="s">
        <v>21</v>
      </c>
      <c r="B1" s="1" t="s">
        <v>63</v>
      </c>
      <c r="C1" s="1" t="s">
        <v>64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2">
      <c r="A2" s="1" t="s">
        <v>38</v>
      </c>
      <c r="B2" s="1" t="s">
        <v>39</v>
      </c>
      <c r="C2" s="1">
        <v>352</v>
      </c>
      <c r="D2" s="1">
        <v>352</v>
      </c>
      <c r="E2" s="1">
        <v>352</v>
      </c>
      <c r="F2" s="1">
        <v>352</v>
      </c>
      <c r="G2" s="1">
        <v>351</v>
      </c>
      <c r="H2" s="1">
        <v>292</v>
      </c>
      <c r="I2" s="1">
        <v>292</v>
      </c>
      <c r="J2" s="1">
        <v>352</v>
      </c>
      <c r="K2" s="1">
        <v>0</v>
      </c>
      <c r="L2" s="1">
        <v>351</v>
      </c>
      <c r="M2" s="1">
        <v>347</v>
      </c>
      <c r="N2" s="1">
        <v>350</v>
      </c>
      <c r="O2" s="1">
        <v>349</v>
      </c>
      <c r="P2" s="1">
        <v>350</v>
      </c>
      <c r="Q2" s="1">
        <v>350</v>
      </c>
      <c r="R2" s="1">
        <v>349</v>
      </c>
    </row>
    <row r="3" spans="1:18" x14ac:dyDescent="0.2">
      <c r="A3" s="1" t="s">
        <v>32</v>
      </c>
      <c r="B3" s="1" t="s">
        <v>33</v>
      </c>
      <c r="C3" s="1">
        <v>6</v>
      </c>
      <c r="D3" s="1">
        <v>6</v>
      </c>
      <c r="E3" s="1">
        <v>6</v>
      </c>
      <c r="F3" s="1">
        <v>6</v>
      </c>
      <c r="G3" s="1">
        <v>6</v>
      </c>
      <c r="H3" s="1">
        <v>6</v>
      </c>
      <c r="I3" s="1">
        <v>6</v>
      </c>
      <c r="J3" s="1">
        <v>6</v>
      </c>
      <c r="K3" s="1">
        <v>0</v>
      </c>
      <c r="L3" s="1">
        <v>6</v>
      </c>
      <c r="M3" s="1">
        <v>6</v>
      </c>
      <c r="N3" s="1">
        <v>6</v>
      </c>
      <c r="O3" s="1">
        <v>6</v>
      </c>
      <c r="P3" s="1">
        <v>6</v>
      </c>
      <c r="Q3" s="1">
        <v>6</v>
      </c>
      <c r="R3" s="1">
        <v>6</v>
      </c>
    </row>
    <row r="4" spans="1:18" x14ac:dyDescent="0.2">
      <c r="A4" s="1" t="s">
        <v>44</v>
      </c>
      <c r="B4" s="1" t="s">
        <v>45</v>
      </c>
      <c r="C4" s="1">
        <v>73</v>
      </c>
      <c r="D4" s="1">
        <v>73</v>
      </c>
      <c r="E4" s="1">
        <v>73</v>
      </c>
      <c r="F4" s="1">
        <v>73</v>
      </c>
      <c r="G4" s="1">
        <v>73</v>
      </c>
      <c r="H4" s="1">
        <v>0</v>
      </c>
      <c r="I4" s="1">
        <v>0</v>
      </c>
      <c r="J4" s="1">
        <v>73</v>
      </c>
      <c r="K4" s="1">
        <v>0</v>
      </c>
      <c r="L4" s="1">
        <v>73</v>
      </c>
      <c r="M4" s="1">
        <v>0</v>
      </c>
      <c r="N4" s="1">
        <v>73</v>
      </c>
      <c r="O4" s="1">
        <v>73</v>
      </c>
      <c r="P4" s="1">
        <v>73</v>
      </c>
      <c r="Q4" s="1">
        <v>73</v>
      </c>
      <c r="R4" s="1">
        <v>73</v>
      </c>
    </row>
    <row r="5" spans="1:18" x14ac:dyDescent="0.2">
      <c r="A5" s="1" t="s">
        <v>30</v>
      </c>
      <c r="B5" s="1" t="s">
        <v>31</v>
      </c>
      <c r="C5" s="1">
        <v>116</v>
      </c>
      <c r="D5" s="1">
        <v>116</v>
      </c>
      <c r="E5" s="1">
        <v>116</v>
      </c>
      <c r="F5" s="1">
        <v>116</v>
      </c>
      <c r="G5" s="1">
        <v>116</v>
      </c>
      <c r="H5" s="1">
        <v>112</v>
      </c>
      <c r="I5" s="1">
        <v>112</v>
      </c>
      <c r="J5" s="1">
        <v>116</v>
      </c>
      <c r="K5" s="1">
        <v>116</v>
      </c>
      <c r="L5" s="1">
        <v>116</v>
      </c>
      <c r="M5" s="1">
        <v>116</v>
      </c>
      <c r="N5" s="1">
        <v>116</v>
      </c>
      <c r="O5" s="1">
        <v>116</v>
      </c>
      <c r="P5" s="1">
        <v>116</v>
      </c>
      <c r="Q5" s="1">
        <v>116</v>
      </c>
      <c r="R5" s="1">
        <v>116</v>
      </c>
    </row>
    <row r="6" spans="1:18" x14ac:dyDescent="0.2">
      <c r="A6" s="1" t="s">
        <v>46</v>
      </c>
      <c r="B6" s="1" t="s">
        <v>47</v>
      </c>
      <c r="C6" s="1">
        <v>600</v>
      </c>
      <c r="D6" s="1">
        <v>600</v>
      </c>
      <c r="E6" s="1">
        <v>600</v>
      </c>
      <c r="F6" s="1">
        <v>600</v>
      </c>
      <c r="G6" s="1">
        <v>600</v>
      </c>
      <c r="H6" s="1">
        <v>600</v>
      </c>
      <c r="I6" s="1">
        <v>600</v>
      </c>
      <c r="J6" s="1">
        <v>600</v>
      </c>
      <c r="K6" s="1">
        <v>0</v>
      </c>
      <c r="L6" s="1">
        <v>0</v>
      </c>
      <c r="M6" s="1">
        <v>0</v>
      </c>
      <c r="N6" s="1">
        <v>213</v>
      </c>
      <c r="O6" s="1">
        <v>213</v>
      </c>
      <c r="P6" s="1">
        <v>212</v>
      </c>
      <c r="Q6" s="1">
        <v>0</v>
      </c>
      <c r="R6" s="1">
        <v>200</v>
      </c>
    </row>
    <row r="7" spans="1:18" x14ac:dyDescent="0.2">
      <c r="A7" s="1" t="s">
        <v>42</v>
      </c>
      <c r="B7" s="1" t="s">
        <v>43</v>
      </c>
      <c r="C7" s="1">
        <v>100</v>
      </c>
      <c r="D7" s="1">
        <v>100</v>
      </c>
      <c r="E7" s="1">
        <v>100</v>
      </c>
      <c r="F7" s="1">
        <v>99</v>
      </c>
      <c r="G7" s="1">
        <v>100</v>
      </c>
      <c r="H7" s="1">
        <v>0</v>
      </c>
      <c r="I7" s="1">
        <v>0</v>
      </c>
      <c r="J7" s="1">
        <v>100</v>
      </c>
      <c r="K7" s="1">
        <v>0</v>
      </c>
      <c r="L7" s="1">
        <v>100</v>
      </c>
      <c r="M7" s="1">
        <v>0</v>
      </c>
      <c r="N7" s="1">
        <v>100</v>
      </c>
      <c r="O7" s="1">
        <v>100</v>
      </c>
      <c r="P7" s="1">
        <v>100</v>
      </c>
      <c r="Q7" s="1">
        <v>100</v>
      </c>
      <c r="R7" s="1">
        <v>100</v>
      </c>
    </row>
    <row r="8" spans="1:18" x14ac:dyDescent="0.2">
      <c r="A8" s="1" t="s">
        <v>24</v>
      </c>
      <c r="B8" s="1" t="s">
        <v>25</v>
      </c>
      <c r="C8" s="1">
        <v>102</v>
      </c>
      <c r="D8" s="1">
        <v>102</v>
      </c>
      <c r="E8" s="1">
        <v>102</v>
      </c>
      <c r="F8" s="1">
        <v>102</v>
      </c>
      <c r="G8" s="1">
        <v>0</v>
      </c>
      <c r="H8" s="1">
        <v>0</v>
      </c>
      <c r="I8" s="1">
        <v>0</v>
      </c>
      <c r="J8" s="1">
        <v>102</v>
      </c>
      <c r="K8" s="1">
        <v>102</v>
      </c>
      <c r="L8" s="1">
        <v>102</v>
      </c>
      <c r="M8" s="1">
        <v>91</v>
      </c>
      <c r="N8" s="1">
        <v>102</v>
      </c>
      <c r="O8" s="1">
        <v>102</v>
      </c>
      <c r="P8" s="1">
        <v>102</v>
      </c>
      <c r="Q8" s="1">
        <v>102</v>
      </c>
      <c r="R8" s="1">
        <v>99</v>
      </c>
    </row>
    <row r="9" spans="1:18" x14ac:dyDescent="0.2">
      <c r="A9" s="1" t="s">
        <v>22</v>
      </c>
      <c r="B9" s="1" t="s">
        <v>23</v>
      </c>
      <c r="C9" s="1">
        <v>32</v>
      </c>
      <c r="D9" s="1">
        <v>32</v>
      </c>
      <c r="E9" s="1">
        <v>32</v>
      </c>
      <c r="F9" s="1">
        <v>32</v>
      </c>
      <c r="G9" s="1">
        <v>32</v>
      </c>
      <c r="H9" s="1">
        <v>0</v>
      </c>
      <c r="I9" s="1">
        <v>0</v>
      </c>
      <c r="J9" s="1">
        <v>32</v>
      </c>
      <c r="K9" s="1">
        <v>0</v>
      </c>
      <c r="L9" s="1">
        <v>32</v>
      </c>
      <c r="M9" s="1">
        <v>32</v>
      </c>
      <c r="N9" s="1">
        <v>32</v>
      </c>
      <c r="O9" s="1">
        <v>32</v>
      </c>
      <c r="P9" s="1">
        <v>32</v>
      </c>
      <c r="Q9" s="1">
        <v>32</v>
      </c>
      <c r="R9" s="1">
        <v>32</v>
      </c>
    </row>
    <row r="10" spans="1:18" x14ac:dyDescent="0.2">
      <c r="A10" s="1" t="s">
        <v>34</v>
      </c>
      <c r="B10" s="1" t="s">
        <v>35</v>
      </c>
      <c r="C10" s="1">
        <v>178</v>
      </c>
      <c r="D10" s="1">
        <v>178</v>
      </c>
      <c r="E10" s="1">
        <v>178</v>
      </c>
      <c r="F10" s="1">
        <v>178</v>
      </c>
      <c r="G10" s="1">
        <v>178</v>
      </c>
      <c r="H10" s="1">
        <v>173</v>
      </c>
      <c r="I10" s="1">
        <v>173</v>
      </c>
      <c r="J10" s="1">
        <v>178</v>
      </c>
      <c r="K10" s="1">
        <v>178</v>
      </c>
      <c r="L10" s="1">
        <v>178</v>
      </c>
      <c r="M10" s="1">
        <v>178</v>
      </c>
      <c r="N10" s="1">
        <v>178</v>
      </c>
      <c r="O10" s="1">
        <v>178</v>
      </c>
      <c r="P10" s="1">
        <v>177</v>
      </c>
      <c r="Q10" s="1">
        <v>178</v>
      </c>
      <c r="R10" s="1">
        <v>178</v>
      </c>
    </row>
    <row r="11" spans="1:18" x14ac:dyDescent="0.2">
      <c r="A11" s="1" t="s">
        <v>56</v>
      </c>
      <c r="B11" s="1" t="s">
        <v>57</v>
      </c>
      <c r="C11" s="1">
        <v>250</v>
      </c>
      <c r="D11" s="1">
        <v>250</v>
      </c>
      <c r="E11" s="1">
        <v>250</v>
      </c>
      <c r="F11" s="1">
        <v>250</v>
      </c>
      <c r="G11" s="1">
        <v>250</v>
      </c>
      <c r="H11" s="1">
        <v>244</v>
      </c>
      <c r="I11" s="1">
        <v>244</v>
      </c>
      <c r="J11" s="1">
        <v>250</v>
      </c>
      <c r="K11" s="1">
        <v>230</v>
      </c>
      <c r="L11" s="1">
        <v>250</v>
      </c>
      <c r="M11" s="1">
        <v>250</v>
      </c>
      <c r="N11" s="1">
        <v>250</v>
      </c>
      <c r="O11" s="1">
        <v>250</v>
      </c>
      <c r="P11" s="1">
        <v>250</v>
      </c>
      <c r="Q11" s="1">
        <v>250</v>
      </c>
      <c r="R11" s="1">
        <v>250</v>
      </c>
    </row>
    <row r="12" spans="1:18" x14ac:dyDescent="0.2">
      <c r="A12" s="1" t="s">
        <v>26</v>
      </c>
      <c r="B12" s="1" t="s">
        <v>27</v>
      </c>
      <c r="C12" s="1">
        <v>225</v>
      </c>
      <c r="D12" s="1">
        <v>225</v>
      </c>
      <c r="E12" s="1">
        <v>225</v>
      </c>
      <c r="F12" s="1">
        <v>225</v>
      </c>
      <c r="G12" s="1">
        <v>225</v>
      </c>
      <c r="H12" s="1">
        <v>0</v>
      </c>
      <c r="I12" s="1">
        <v>0</v>
      </c>
      <c r="J12" s="1">
        <v>225</v>
      </c>
      <c r="K12" s="1">
        <v>0</v>
      </c>
      <c r="L12" s="1">
        <v>225</v>
      </c>
      <c r="M12" s="1">
        <v>225</v>
      </c>
      <c r="N12" s="1">
        <v>224</v>
      </c>
      <c r="O12" s="1">
        <v>222</v>
      </c>
      <c r="P12" s="1">
        <v>224</v>
      </c>
      <c r="Q12" s="1">
        <v>224</v>
      </c>
      <c r="R12" s="1">
        <v>224</v>
      </c>
    </row>
    <row r="13" spans="1:18" x14ac:dyDescent="0.2">
      <c r="A13" s="1" t="s">
        <v>48</v>
      </c>
      <c r="B13" s="1" t="s">
        <v>49</v>
      </c>
      <c r="C13" s="1">
        <v>45</v>
      </c>
      <c r="D13" s="1">
        <v>45</v>
      </c>
      <c r="E13" s="1">
        <v>45</v>
      </c>
      <c r="F13" s="1">
        <v>45</v>
      </c>
      <c r="G13" s="1">
        <v>45</v>
      </c>
      <c r="H13" s="1">
        <v>45</v>
      </c>
      <c r="I13" s="1">
        <v>45</v>
      </c>
      <c r="J13" s="1">
        <v>45</v>
      </c>
      <c r="K13" s="1">
        <v>0</v>
      </c>
      <c r="L13" s="1">
        <v>45</v>
      </c>
      <c r="M13" s="1">
        <v>45</v>
      </c>
      <c r="N13" s="1">
        <v>45</v>
      </c>
      <c r="O13" s="1">
        <v>45</v>
      </c>
      <c r="P13" s="1">
        <v>45</v>
      </c>
      <c r="Q13" s="1">
        <v>44</v>
      </c>
      <c r="R13" s="1">
        <v>45</v>
      </c>
    </row>
    <row r="14" spans="1:18" x14ac:dyDescent="0.2">
      <c r="A14" s="1" t="s">
        <v>28</v>
      </c>
      <c r="B14" s="1" t="s">
        <v>29</v>
      </c>
      <c r="C14" s="1">
        <v>307</v>
      </c>
      <c r="D14" s="1">
        <v>307</v>
      </c>
      <c r="E14" s="1">
        <v>307</v>
      </c>
      <c r="F14" s="1">
        <v>307</v>
      </c>
      <c r="G14" s="1">
        <v>307</v>
      </c>
      <c r="H14" s="1">
        <v>0</v>
      </c>
      <c r="I14" s="1">
        <v>0</v>
      </c>
      <c r="J14" s="1">
        <v>307</v>
      </c>
      <c r="K14" s="1">
        <v>0</v>
      </c>
      <c r="L14" s="1">
        <v>307</v>
      </c>
      <c r="M14" s="1">
        <v>307</v>
      </c>
      <c r="N14" s="1">
        <v>307</v>
      </c>
      <c r="O14" s="1">
        <v>307</v>
      </c>
      <c r="P14" s="1">
        <v>307</v>
      </c>
      <c r="Q14" s="1">
        <v>307</v>
      </c>
      <c r="R14" s="1">
        <v>307</v>
      </c>
    </row>
    <row r="15" spans="1:18" x14ac:dyDescent="0.2">
      <c r="A15" s="1" t="s">
        <v>40</v>
      </c>
      <c r="B15" s="1" t="s">
        <v>41</v>
      </c>
      <c r="C15" s="1">
        <v>412</v>
      </c>
      <c r="D15" s="1">
        <v>412</v>
      </c>
      <c r="E15" s="1">
        <v>412</v>
      </c>
      <c r="F15" s="1">
        <v>411</v>
      </c>
      <c r="G15" s="1">
        <v>412</v>
      </c>
      <c r="H15" s="1">
        <v>0</v>
      </c>
      <c r="I15" s="1">
        <v>0</v>
      </c>
      <c r="J15" s="1">
        <v>412</v>
      </c>
      <c r="K15" s="1">
        <v>412</v>
      </c>
      <c r="L15" s="1">
        <v>412</v>
      </c>
      <c r="M15" s="1">
        <v>411</v>
      </c>
      <c r="N15" s="1">
        <v>412</v>
      </c>
      <c r="O15" s="1">
        <v>412</v>
      </c>
      <c r="P15" s="1">
        <v>412</v>
      </c>
      <c r="Q15" s="1">
        <v>412</v>
      </c>
      <c r="R15" s="1">
        <v>412</v>
      </c>
    </row>
    <row r="16" spans="1:18" x14ac:dyDescent="0.2">
      <c r="A16" s="1" t="s">
        <v>54</v>
      </c>
      <c r="B16" s="1" t="s">
        <v>55</v>
      </c>
      <c r="C16" s="1">
        <v>128</v>
      </c>
      <c r="D16" s="1">
        <v>128</v>
      </c>
      <c r="E16" s="1">
        <v>128</v>
      </c>
      <c r="F16" s="1">
        <v>127</v>
      </c>
      <c r="G16" s="1">
        <v>128</v>
      </c>
      <c r="H16" s="1">
        <v>29</v>
      </c>
      <c r="I16" s="1">
        <v>28</v>
      </c>
      <c r="J16" s="1">
        <v>128</v>
      </c>
      <c r="K16" s="1">
        <v>128</v>
      </c>
      <c r="L16" s="1">
        <v>128</v>
      </c>
      <c r="M16" s="1">
        <v>128</v>
      </c>
      <c r="N16" s="1">
        <v>126</v>
      </c>
      <c r="O16" s="1">
        <v>127</v>
      </c>
      <c r="P16" s="1">
        <v>127</v>
      </c>
      <c r="Q16" s="1">
        <v>127</v>
      </c>
      <c r="R16" s="1">
        <v>127</v>
      </c>
    </row>
    <row r="17" spans="1:18" x14ac:dyDescent="0.2">
      <c r="A17" s="1" t="s">
        <v>58</v>
      </c>
      <c r="B17" s="1" t="s">
        <v>59</v>
      </c>
      <c r="C17" s="1">
        <v>571</v>
      </c>
      <c r="D17" s="1">
        <v>571</v>
      </c>
      <c r="E17" s="1">
        <v>571</v>
      </c>
      <c r="F17" s="1">
        <v>571</v>
      </c>
      <c r="G17" s="1">
        <v>571</v>
      </c>
      <c r="H17" s="1">
        <v>265</v>
      </c>
      <c r="I17" s="1">
        <v>265</v>
      </c>
      <c r="J17" s="1">
        <v>571</v>
      </c>
      <c r="K17" s="1">
        <v>557</v>
      </c>
      <c r="L17" s="1">
        <v>571</v>
      </c>
      <c r="M17" s="1">
        <v>560</v>
      </c>
      <c r="N17" s="1">
        <v>571</v>
      </c>
      <c r="O17" s="1">
        <v>571</v>
      </c>
      <c r="P17" s="1">
        <v>571</v>
      </c>
      <c r="Q17" s="1">
        <v>571</v>
      </c>
      <c r="R17" s="1">
        <v>571</v>
      </c>
    </row>
    <row r="18" spans="1:18" x14ac:dyDescent="0.2">
      <c r="A18" s="1" t="s">
        <v>36</v>
      </c>
      <c r="B18" s="1" t="s">
        <v>37</v>
      </c>
      <c r="C18" s="1">
        <v>144</v>
      </c>
      <c r="D18" s="1">
        <v>144</v>
      </c>
      <c r="E18" s="1">
        <v>144</v>
      </c>
      <c r="F18" s="1">
        <v>144</v>
      </c>
      <c r="G18" s="1">
        <v>144</v>
      </c>
      <c r="H18" s="1">
        <v>0</v>
      </c>
      <c r="I18" s="1">
        <v>0</v>
      </c>
      <c r="J18" s="1">
        <v>144</v>
      </c>
      <c r="K18" s="1">
        <v>144</v>
      </c>
      <c r="L18" s="1">
        <v>144</v>
      </c>
      <c r="M18" s="1">
        <v>144</v>
      </c>
      <c r="N18" s="1">
        <v>144</v>
      </c>
      <c r="O18" s="1">
        <v>144</v>
      </c>
      <c r="P18" s="1">
        <v>144</v>
      </c>
      <c r="Q18" s="1">
        <v>144</v>
      </c>
      <c r="R18" s="1">
        <v>144</v>
      </c>
    </row>
    <row r="19" spans="1:18" x14ac:dyDescent="0.2">
      <c r="A19" s="1" t="s">
        <v>50</v>
      </c>
      <c r="B19" s="1" t="s">
        <v>51</v>
      </c>
      <c r="C19" s="1">
        <v>30</v>
      </c>
      <c r="D19" s="1">
        <v>30</v>
      </c>
      <c r="E19" s="1">
        <v>30</v>
      </c>
      <c r="F19" s="1">
        <v>29</v>
      </c>
      <c r="G19" s="1">
        <v>30</v>
      </c>
      <c r="H19" s="1">
        <v>30</v>
      </c>
      <c r="I19" s="1">
        <v>29</v>
      </c>
      <c r="J19" s="1">
        <v>30</v>
      </c>
      <c r="K19" s="1">
        <v>30</v>
      </c>
      <c r="L19" s="1">
        <v>30</v>
      </c>
      <c r="M19" s="1">
        <v>30</v>
      </c>
      <c r="N19" s="1">
        <v>30</v>
      </c>
      <c r="O19" s="1">
        <v>30</v>
      </c>
      <c r="P19" s="1">
        <v>30</v>
      </c>
      <c r="Q19" s="1">
        <v>30</v>
      </c>
      <c r="R19" s="1">
        <v>30</v>
      </c>
    </row>
    <row r="20" spans="1:18" x14ac:dyDescent="0.2">
      <c r="A20" s="1" t="s">
        <v>52</v>
      </c>
      <c r="B20" s="1" t="s">
        <v>53</v>
      </c>
      <c r="C20" s="1">
        <v>928</v>
      </c>
      <c r="D20" s="1">
        <v>928</v>
      </c>
      <c r="E20" s="1">
        <v>928</v>
      </c>
      <c r="F20" s="1">
        <v>926</v>
      </c>
      <c r="G20" s="1">
        <v>926</v>
      </c>
      <c r="H20" s="1">
        <v>889</v>
      </c>
      <c r="I20" s="1">
        <v>885</v>
      </c>
      <c r="J20" s="1">
        <v>928</v>
      </c>
      <c r="K20" s="1">
        <v>923</v>
      </c>
      <c r="L20" s="1">
        <v>887</v>
      </c>
      <c r="M20" s="1">
        <v>82</v>
      </c>
      <c r="N20" s="1">
        <v>887</v>
      </c>
      <c r="O20" s="1">
        <v>887</v>
      </c>
      <c r="P20" s="1">
        <v>887</v>
      </c>
      <c r="Q20" s="1">
        <v>887</v>
      </c>
      <c r="R20" s="1">
        <v>887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1A60-10FD-0B49-904A-6027AB18DB41}">
  <dimension ref="A1:R20"/>
  <sheetViews>
    <sheetView tabSelected="1" workbookViewId="0">
      <selection activeCell="D1" sqref="D1"/>
    </sheetView>
  </sheetViews>
  <sheetFormatPr baseColWidth="10" defaultColWidth="16.1640625" defaultRowHeight="16" x14ac:dyDescent="0.2"/>
  <cols>
    <col min="1" max="1" width="16.6640625" bestFit="1" customWidth="1"/>
    <col min="2" max="2" width="21.33203125" bestFit="1" customWidth="1"/>
    <col min="3" max="3" width="7.5" bestFit="1" customWidth="1"/>
    <col min="4" max="4" width="9.83203125" bestFit="1" customWidth="1"/>
    <col min="5" max="5" width="6.5" bestFit="1" customWidth="1"/>
    <col min="6" max="8" width="12.1640625" bestFit="1" customWidth="1"/>
    <col min="9" max="9" width="13.83203125" bestFit="1" customWidth="1"/>
    <col min="10" max="10" width="12" bestFit="1" customWidth="1"/>
    <col min="11" max="11" width="15" bestFit="1" customWidth="1"/>
    <col min="12" max="12" width="14.6640625" bestFit="1" customWidth="1"/>
    <col min="13" max="13" width="16.83203125" bestFit="1" customWidth="1"/>
    <col min="14" max="14" width="14.33203125" bestFit="1" customWidth="1"/>
    <col min="15" max="15" width="17.33203125" bestFit="1" customWidth="1"/>
    <col min="16" max="16" width="15" bestFit="1" customWidth="1"/>
    <col min="17" max="17" width="12.1640625" bestFit="1" customWidth="1"/>
    <col min="18" max="18" width="25.1640625" bestFit="1" customWidth="1"/>
  </cols>
  <sheetData>
    <row r="1" spans="1:18" x14ac:dyDescent="0.2">
      <c r="A1" t="s">
        <v>21</v>
      </c>
      <c r="B1" t="s">
        <v>63</v>
      </c>
      <c r="C1" t="s">
        <v>64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t="s">
        <v>38</v>
      </c>
      <c r="B2" t="s">
        <v>39</v>
      </c>
      <c r="C2">
        <v>352</v>
      </c>
      <c r="D2">
        <v>100</v>
      </c>
      <c r="E2">
        <v>100</v>
      </c>
      <c r="F2">
        <v>100</v>
      </c>
      <c r="G2">
        <v>99.715909090909093</v>
      </c>
      <c r="H2">
        <v>82.954545454545396</v>
      </c>
      <c r="I2">
        <v>82.954545454545396</v>
      </c>
      <c r="J2">
        <v>100</v>
      </c>
      <c r="K2">
        <v>0</v>
      </c>
      <c r="L2">
        <v>99.715909090909093</v>
      </c>
      <c r="M2">
        <v>98.579545454545396</v>
      </c>
      <c r="N2">
        <v>99.431818181818102</v>
      </c>
      <c r="O2">
        <v>99.147727272727195</v>
      </c>
      <c r="P2">
        <v>99.431818181818102</v>
      </c>
      <c r="Q2">
        <v>99.431818181818102</v>
      </c>
      <c r="R2">
        <v>99.147727272727195</v>
      </c>
    </row>
    <row r="3" spans="1:18" x14ac:dyDescent="0.2">
      <c r="A3" t="s">
        <v>32</v>
      </c>
      <c r="B3" t="s">
        <v>33</v>
      </c>
      <c r="C3">
        <v>6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</row>
    <row r="4" spans="1:18" x14ac:dyDescent="0.2">
      <c r="A4" t="s">
        <v>44</v>
      </c>
      <c r="B4" t="s">
        <v>45</v>
      </c>
      <c r="C4">
        <v>73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100</v>
      </c>
      <c r="K4">
        <v>0</v>
      </c>
      <c r="L4">
        <v>100</v>
      </c>
      <c r="M4">
        <v>0</v>
      </c>
      <c r="N4">
        <v>100</v>
      </c>
      <c r="O4">
        <v>100</v>
      </c>
      <c r="P4">
        <v>100</v>
      </c>
      <c r="Q4">
        <v>100</v>
      </c>
      <c r="R4">
        <v>100</v>
      </c>
    </row>
    <row r="5" spans="1:18" x14ac:dyDescent="0.2">
      <c r="A5" t="s">
        <v>30</v>
      </c>
      <c r="B5" t="s">
        <v>31</v>
      </c>
      <c r="C5">
        <v>116</v>
      </c>
      <c r="D5">
        <v>100</v>
      </c>
      <c r="E5">
        <v>100</v>
      </c>
      <c r="F5">
        <v>100</v>
      </c>
      <c r="G5">
        <v>100</v>
      </c>
      <c r="H5">
        <v>96.551724137931004</v>
      </c>
      <c r="I5">
        <v>96.551724137931004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</row>
    <row r="6" spans="1:18" x14ac:dyDescent="0.2">
      <c r="A6" t="s">
        <v>46</v>
      </c>
      <c r="B6" t="s">
        <v>47</v>
      </c>
      <c r="C6">
        <v>600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0</v>
      </c>
      <c r="L6">
        <v>0</v>
      </c>
      <c r="M6">
        <v>0</v>
      </c>
      <c r="N6">
        <v>35.5</v>
      </c>
      <c r="O6">
        <v>35.5</v>
      </c>
      <c r="P6">
        <v>35.3333333333333</v>
      </c>
      <c r="Q6">
        <v>0</v>
      </c>
      <c r="R6">
        <v>33.3333333333333</v>
      </c>
    </row>
    <row r="7" spans="1:18" x14ac:dyDescent="0.2">
      <c r="A7" t="s">
        <v>42</v>
      </c>
      <c r="B7" t="s">
        <v>43</v>
      </c>
      <c r="C7">
        <v>100</v>
      </c>
      <c r="D7">
        <v>100</v>
      </c>
      <c r="E7">
        <v>100</v>
      </c>
      <c r="F7">
        <v>99</v>
      </c>
      <c r="G7">
        <v>100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100</v>
      </c>
      <c r="P7">
        <v>100</v>
      </c>
      <c r="Q7">
        <v>100</v>
      </c>
      <c r="R7">
        <v>100</v>
      </c>
    </row>
    <row r="8" spans="1:18" x14ac:dyDescent="0.2">
      <c r="A8" t="s">
        <v>24</v>
      </c>
      <c r="B8" t="s">
        <v>25</v>
      </c>
      <c r="C8">
        <v>102</v>
      </c>
      <c r="D8">
        <v>100</v>
      </c>
      <c r="E8">
        <v>100</v>
      </c>
      <c r="F8">
        <v>100</v>
      </c>
      <c r="G8">
        <v>0</v>
      </c>
      <c r="H8">
        <v>0</v>
      </c>
      <c r="I8">
        <v>0</v>
      </c>
      <c r="J8">
        <v>100</v>
      </c>
      <c r="K8">
        <v>100</v>
      </c>
      <c r="L8">
        <v>100</v>
      </c>
      <c r="M8">
        <v>89.215686274509807</v>
      </c>
      <c r="N8">
        <v>100</v>
      </c>
      <c r="O8">
        <v>100</v>
      </c>
      <c r="P8">
        <v>100</v>
      </c>
      <c r="Q8">
        <v>100</v>
      </c>
      <c r="R8">
        <v>97.058823529411697</v>
      </c>
    </row>
    <row r="9" spans="1:18" x14ac:dyDescent="0.2">
      <c r="A9" t="s">
        <v>22</v>
      </c>
      <c r="B9" t="s">
        <v>23</v>
      </c>
      <c r="C9">
        <v>32</v>
      </c>
      <c r="D9">
        <v>100</v>
      </c>
      <c r="E9">
        <v>100</v>
      </c>
      <c r="F9">
        <v>100</v>
      </c>
      <c r="G9">
        <v>100</v>
      </c>
      <c r="H9">
        <v>0</v>
      </c>
      <c r="I9">
        <v>0</v>
      </c>
      <c r="J9">
        <v>100</v>
      </c>
      <c r="K9">
        <v>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</row>
    <row r="10" spans="1:18" x14ac:dyDescent="0.2">
      <c r="A10" t="s">
        <v>34</v>
      </c>
      <c r="B10" t="s">
        <v>35</v>
      </c>
      <c r="C10">
        <v>178</v>
      </c>
      <c r="D10">
        <v>100</v>
      </c>
      <c r="E10">
        <v>100</v>
      </c>
      <c r="F10">
        <v>100</v>
      </c>
      <c r="G10">
        <v>100</v>
      </c>
      <c r="H10">
        <v>97.191011235955003</v>
      </c>
      <c r="I10">
        <v>97.191011235955003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99.438202247191001</v>
      </c>
      <c r="Q10">
        <v>100</v>
      </c>
      <c r="R10">
        <v>100</v>
      </c>
    </row>
    <row r="11" spans="1:18" x14ac:dyDescent="0.2">
      <c r="A11" t="s">
        <v>56</v>
      </c>
      <c r="B11" t="s">
        <v>57</v>
      </c>
      <c r="C11">
        <v>250</v>
      </c>
      <c r="D11">
        <v>100</v>
      </c>
      <c r="E11">
        <v>100</v>
      </c>
      <c r="F11">
        <v>100</v>
      </c>
      <c r="G11">
        <v>100</v>
      </c>
      <c r="H11">
        <v>97.6</v>
      </c>
      <c r="I11">
        <v>97.6</v>
      </c>
      <c r="J11">
        <v>100</v>
      </c>
      <c r="K11">
        <v>92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</row>
    <row r="12" spans="1:18" x14ac:dyDescent="0.2">
      <c r="A12" t="s">
        <v>26</v>
      </c>
      <c r="B12" t="s">
        <v>27</v>
      </c>
      <c r="C12">
        <v>225</v>
      </c>
      <c r="D12">
        <v>100</v>
      </c>
      <c r="E12">
        <v>100</v>
      </c>
      <c r="F12">
        <v>100</v>
      </c>
      <c r="G12">
        <v>100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100</v>
      </c>
      <c r="N12">
        <v>99.5555555555555</v>
      </c>
      <c r="O12">
        <v>98.6666666666666</v>
      </c>
      <c r="P12">
        <v>99.5555555555555</v>
      </c>
      <c r="Q12">
        <v>99.5555555555555</v>
      </c>
      <c r="R12">
        <v>99.5555555555555</v>
      </c>
    </row>
    <row r="13" spans="1:18" x14ac:dyDescent="0.2">
      <c r="A13" t="s">
        <v>48</v>
      </c>
      <c r="B13" t="s">
        <v>49</v>
      </c>
      <c r="C13">
        <v>45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97.7777777777777</v>
      </c>
      <c r="R13">
        <v>100</v>
      </c>
    </row>
    <row r="14" spans="1:18" x14ac:dyDescent="0.2">
      <c r="A14" t="s">
        <v>28</v>
      </c>
      <c r="B14" t="s">
        <v>29</v>
      </c>
      <c r="C14">
        <v>307</v>
      </c>
      <c r="D14">
        <v>100</v>
      </c>
      <c r="E14">
        <v>100</v>
      </c>
      <c r="F14">
        <v>100</v>
      </c>
      <c r="G14">
        <v>100</v>
      </c>
      <c r="H14">
        <v>0</v>
      </c>
      <c r="I14">
        <v>0</v>
      </c>
      <c r="J14">
        <v>100</v>
      </c>
      <c r="K14">
        <v>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</row>
    <row r="15" spans="1:18" x14ac:dyDescent="0.2">
      <c r="A15" t="s">
        <v>40</v>
      </c>
      <c r="B15" t="s">
        <v>41</v>
      </c>
      <c r="C15">
        <v>412</v>
      </c>
      <c r="D15">
        <v>100</v>
      </c>
      <c r="E15">
        <v>100</v>
      </c>
      <c r="F15">
        <v>99.757281553398002</v>
      </c>
      <c r="G15">
        <v>100</v>
      </c>
      <c r="H15">
        <v>0</v>
      </c>
      <c r="I15">
        <v>0</v>
      </c>
      <c r="J15">
        <v>100</v>
      </c>
      <c r="K15">
        <v>100</v>
      </c>
      <c r="L15">
        <v>100</v>
      </c>
      <c r="M15">
        <v>99.757281553398002</v>
      </c>
      <c r="N15">
        <v>100</v>
      </c>
      <c r="O15">
        <v>100</v>
      </c>
      <c r="P15">
        <v>100</v>
      </c>
      <c r="Q15">
        <v>100</v>
      </c>
      <c r="R15">
        <v>100</v>
      </c>
    </row>
    <row r="16" spans="1:18" x14ac:dyDescent="0.2">
      <c r="A16" t="s">
        <v>54</v>
      </c>
      <c r="B16" t="s">
        <v>55</v>
      </c>
      <c r="C16">
        <v>128</v>
      </c>
      <c r="D16">
        <v>100</v>
      </c>
      <c r="E16">
        <v>100</v>
      </c>
      <c r="F16">
        <v>99.21875</v>
      </c>
      <c r="G16">
        <v>100</v>
      </c>
      <c r="H16">
        <v>22.65625</v>
      </c>
      <c r="I16">
        <v>21.875</v>
      </c>
      <c r="J16">
        <v>100</v>
      </c>
      <c r="K16">
        <v>100</v>
      </c>
      <c r="L16">
        <v>100</v>
      </c>
      <c r="M16">
        <v>100</v>
      </c>
      <c r="N16">
        <v>98.4375</v>
      </c>
      <c r="O16">
        <v>99.21875</v>
      </c>
      <c r="P16">
        <v>99.21875</v>
      </c>
      <c r="Q16">
        <v>99.21875</v>
      </c>
      <c r="R16">
        <v>99.21875</v>
      </c>
    </row>
    <row r="17" spans="1:18" x14ac:dyDescent="0.2">
      <c r="A17" t="s">
        <v>58</v>
      </c>
      <c r="B17" t="s">
        <v>59</v>
      </c>
      <c r="C17">
        <v>571</v>
      </c>
      <c r="D17">
        <v>100</v>
      </c>
      <c r="E17">
        <v>100</v>
      </c>
      <c r="F17">
        <v>100</v>
      </c>
      <c r="G17">
        <v>100</v>
      </c>
      <c r="H17">
        <v>46.409807355516598</v>
      </c>
      <c r="I17">
        <v>46.409807355516598</v>
      </c>
      <c r="J17">
        <v>100</v>
      </c>
      <c r="K17">
        <v>97.548161120840604</v>
      </c>
      <c r="L17">
        <v>100</v>
      </c>
      <c r="M17">
        <v>98.073555166374703</v>
      </c>
      <c r="N17">
        <v>100</v>
      </c>
      <c r="O17">
        <v>100</v>
      </c>
      <c r="P17">
        <v>100</v>
      </c>
      <c r="Q17">
        <v>100</v>
      </c>
      <c r="R17">
        <v>100</v>
      </c>
    </row>
    <row r="18" spans="1:18" x14ac:dyDescent="0.2">
      <c r="A18" t="s">
        <v>36</v>
      </c>
      <c r="B18" t="s">
        <v>37</v>
      </c>
      <c r="C18">
        <v>144</v>
      </c>
      <c r="D18">
        <v>100</v>
      </c>
      <c r="E18">
        <v>100</v>
      </c>
      <c r="F18">
        <v>100</v>
      </c>
      <c r="G18">
        <v>100</v>
      </c>
      <c r="H18">
        <v>0</v>
      </c>
      <c r="I18">
        <v>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</row>
    <row r="19" spans="1:18" x14ac:dyDescent="0.2">
      <c r="A19" t="s">
        <v>50</v>
      </c>
      <c r="B19" t="s">
        <v>51</v>
      </c>
      <c r="C19">
        <v>30</v>
      </c>
      <c r="D19">
        <v>100</v>
      </c>
      <c r="E19">
        <v>100</v>
      </c>
      <c r="F19">
        <v>96.6666666666666</v>
      </c>
      <c r="G19">
        <v>100</v>
      </c>
      <c r="H19">
        <v>100</v>
      </c>
      <c r="I19">
        <v>96.6666666666666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</row>
    <row r="20" spans="1:18" x14ac:dyDescent="0.2">
      <c r="A20" t="s">
        <v>52</v>
      </c>
      <c r="B20" t="s">
        <v>53</v>
      </c>
      <c r="C20">
        <v>928</v>
      </c>
      <c r="D20">
        <v>100</v>
      </c>
      <c r="E20">
        <v>100</v>
      </c>
      <c r="F20">
        <v>99.784482758620598</v>
      </c>
      <c r="G20">
        <v>99.784482758620598</v>
      </c>
      <c r="H20">
        <v>95.797413793103402</v>
      </c>
      <c r="I20">
        <v>95.366379310344797</v>
      </c>
      <c r="J20">
        <v>100</v>
      </c>
      <c r="K20">
        <v>99.461206896551701</v>
      </c>
      <c r="L20">
        <v>95.5818965517241</v>
      </c>
      <c r="M20">
        <v>8.8362068965517206</v>
      </c>
      <c r="N20">
        <v>95.5818965517241</v>
      </c>
      <c r="O20">
        <v>95.5818965517241</v>
      </c>
      <c r="P20">
        <v>95.5818965517241</v>
      </c>
      <c r="Q20">
        <v>95.5818965517241</v>
      </c>
      <c r="R20">
        <v>95.5818965517241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missingess by participant</vt:lpstr>
      <vt:lpstr>missingness by variable</vt:lpstr>
      <vt:lpstr>missingness by study (total)</vt:lpstr>
      <vt:lpstr>missingness by study (percent)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Wilson</cp:lastModifiedBy>
  <dcterms:created xsi:type="dcterms:W3CDTF">2025-07-16T12:38:02Z</dcterms:created>
  <dcterms:modified xsi:type="dcterms:W3CDTF">2025-08-07T06:48:06Z</dcterms:modified>
</cp:coreProperties>
</file>