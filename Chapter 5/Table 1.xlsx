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ink/ink1.xml" ContentType="application/inkml+xml"/>
  <Override PartName="/xl/ink/ink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mc:AlternateContent xmlns:mc="http://schemas.openxmlformats.org/markup-compatibility/2006">
    <mc:Choice Requires="x15">
      <x15ac:absPath xmlns:x15ac="http://schemas.microsoft.com/office/spreadsheetml/2010/11/ac" url="/Users/jameswilson/proj/dphil/"/>
    </mc:Choice>
  </mc:AlternateContent>
  <xr:revisionPtr revIDLastSave="0" documentId="13_ncr:1_{2323804A-DCF1-9746-ABB8-C8FE324FCFBF}" xr6:coauthVersionLast="47" xr6:coauthVersionMax="47" xr10:uidLastSave="{00000000-0000-0000-0000-000000000000}"/>
  <bookViews>
    <workbookView xWindow="-5100" yWindow="-18880" windowWidth="30240" windowHeight="17080" tabRatio="701" xr2:uid="{0FDEFA98-52FF-364A-A97C-824F1622A273}"/>
  </bookViews>
  <sheets>
    <sheet name="Study design" sheetId="9" r:id="rId1"/>
    <sheet name="Study outcome" sheetId="14" r:id="rId2"/>
    <sheet name="Risk of bias" sheetId="1" r:id="rId3"/>
    <sheet name="Participant characteristics1" sheetId="13" r:id="rId4"/>
    <sheet name="Participant characteristics2" sheetId="15" r:id="rId5"/>
    <sheet name="Dictionaries" sheetId="11" r:id="rId6"/>
    <sheet name="VL Data Repository Dec 2023" sheetId="3" r:id="rId7"/>
  </sheets>
  <definedNames>
    <definedName name="_xlcn.WorksheetConnection_relapsemaster.xlsxSTUDYID_R1" hidden="1">STUDYID_R</definedName>
    <definedName name="_xlcn.WorksheetConnection_relapsemaster.xlsxSTUDYID_WEB1" hidden="1">STUDYID_WEB[]</definedName>
    <definedName name="Characteristics_list">Characteristics[Characteristic]</definedName>
    <definedName name="Drugs_list">Drugs[Drugs]</definedName>
    <definedName name="Location_list">#REF!</definedName>
    <definedName name="Ref_ID">#REF!</definedName>
    <definedName name="STUDYID">#REF!</definedName>
    <definedName name="Timepoint_list">Timepoint[Timepoint]</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YID_WEB" name="STUDYID_WEB" connection="WorksheetConnection_relapse master.xlsx!STUDYID_WEB"/>
          <x15:modelTable id="STUDYID_R" name="STUDYID_R" connection="WorksheetConnection_relapse master.xlsx!STUDYID_R"/>
        </x15:modelTables>
        <x15:modelRelationships>
          <x15:modelRelationship fromTable="STUDYID_WEB" fromColumn="IDDO Data Contribution ID" toTable="STUDYID_R" toColumn="STUDY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3" i="14" l="1"/>
  <c r="T23" i="14"/>
  <c r="T28" i="14"/>
  <c r="F28" i="14"/>
  <c r="G28" i="14"/>
  <c r="H28" i="14"/>
  <c r="Y22" i="14"/>
  <c r="T22" i="14"/>
  <c r="F22" i="14"/>
  <c r="G22" i="14"/>
  <c r="H22" i="14"/>
  <c r="G21" i="14"/>
  <c r="H15" i="14"/>
  <c r="F21" i="14"/>
  <c r="H21" i="14"/>
  <c r="AG15" i="14"/>
  <c r="Z15" i="14"/>
  <c r="Y15" i="14"/>
  <c r="T15" i="14"/>
  <c r="F15" i="14"/>
  <c r="G15" i="14"/>
  <c r="F12" i="14"/>
  <c r="G12" i="14"/>
  <c r="H12" i="14"/>
  <c r="Y10" i="14"/>
  <c r="T10" i="14"/>
  <c r="F10" i="14"/>
  <c r="G10" i="14"/>
  <c r="H10" i="14"/>
  <c r="Y4" i="14"/>
  <c r="T4" i="14"/>
  <c r="S4" i="14"/>
  <c r="R4" i="14"/>
  <c r="F4" i="14"/>
  <c r="G4" i="14"/>
  <c r="H4" i="14"/>
  <c r="Z18" i="14"/>
  <c r="T18" i="14"/>
  <c r="H18" i="14"/>
  <c r="G18" i="14"/>
  <c r="F18" i="14"/>
  <c r="Z27" i="14"/>
  <c r="T25" i="14"/>
  <c r="Z25" i="14"/>
  <c r="Z19" i="14"/>
  <c r="T19" i="14"/>
  <c r="Z17" i="14"/>
  <c r="T17" i="14"/>
  <c r="Z6" i="14"/>
  <c r="T6" i="14"/>
  <c r="S11" i="14"/>
  <c r="Z11" i="14" s="1"/>
  <c r="T7" i="14"/>
  <c r="T30" i="14"/>
  <c r="Z14" i="14"/>
  <c r="T14" i="14"/>
  <c r="T16" i="14"/>
  <c r="Z31" i="14"/>
  <c r="T31" i="14"/>
  <c r="Z24" i="14"/>
  <c r="T24" i="14"/>
  <c r="T29" i="14"/>
  <c r="S32" i="14"/>
  <c r="Z32" i="14" s="1"/>
  <c r="F9" i="14"/>
  <c r="G9" i="14"/>
  <c r="H9" i="14"/>
  <c r="H27" i="14"/>
  <c r="G27" i="14"/>
  <c r="F27" i="14"/>
  <c r="F29" i="14"/>
  <c r="F25" i="14"/>
  <c r="G25" i="14"/>
  <c r="H25" i="14"/>
  <c r="Y20" i="14"/>
  <c r="S20" i="14"/>
  <c r="T20" i="14" s="1"/>
  <c r="F20" i="14"/>
  <c r="G20" i="14"/>
  <c r="H20" i="14"/>
  <c r="F19" i="14"/>
  <c r="G19" i="14"/>
  <c r="H19" i="14"/>
  <c r="F17" i="14"/>
  <c r="G17" i="14"/>
  <c r="H17" i="14"/>
  <c r="F6" i="14"/>
  <c r="G6" i="14"/>
  <c r="H6" i="14"/>
  <c r="Y13" i="14"/>
  <c r="R13" i="14"/>
  <c r="S13" i="14"/>
  <c r="F13" i="14"/>
  <c r="G13" i="14"/>
  <c r="H13" i="14"/>
  <c r="F11" i="14"/>
  <c r="G11" i="14"/>
  <c r="H11" i="14"/>
  <c r="Y7" i="14"/>
  <c r="Z7" i="14" s="1"/>
  <c r="F7" i="14"/>
  <c r="G7" i="14"/>
  <c r="H7" i="14"/>
  <c r="Y30" i="14"/>
  <c r="Z30" i="14" s="1"/>
  <c r="F30" i="14"/>
  <c r="G30" i="14"/>
  <c r="H30" i="14"/>
  <c r="S8" i="14"/>
  <c r="T8" i="14" s="1"/>
  <c r="F8" i="14"/>
  <c r="G8" i="14"/>
  <c r="H8" i="14"/>
  <c r="F16" i="14"/>
  <c r="F14" i="14"/>
  <c r="G14" i="14"/>
  <c r="H14" i="14"/>
  <c r="Y16" i="14"/>
  <c r="Z16" i="14" s="1"/>
  <c r="H29" i="14"/>
  <c r="H24" i="14"/>
  <c r="H32" i="14"/>
  <c r="H31" i="14"/>
  <c r="H16" i="14"/>
  <c r="G29" i="14"/>
  <c r="G24" i="14"/>
  <c r="G32" i="14"/>
  <c r="G31" i="14"/>
  <c r="G16" i="14"/>
  <c r="F24" i="14"/>
  <c r="F32" i="14"/>
  <c r="F31" i="14"/>
  <c r="Z20" i="14" l="1"/>
  <c r="Z13" i="14"/>
  <c r="T13" i="14"/>
  <c r="Z8" i="14"/>
  <c r="T11" i="14"/>
  <c r="T3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DAA6A-C2AA-4959-9438-69D0347CB2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47B4728-902C-4924-9728-1A870DF6D3EF}" name="WorksheetConnection_relapse master.xlsx!STUDYID_R" type="102" refreshedVersion="8" minRefreshableVersion="5">
    <extLst>
      <ext xmlns:x15="http://schemas.microsoft.com/office/spreadsheetml/2010/11/main" uri="{DE250136-89BD-433C-8126-D09CA5730AF9}">
        <x15:connection id="STUDYID_R">
          <x15:rangePr sourceName="_xlcn.WorksheetConnection_relapsemaster.xlsxSTUDYID_R1"/>
        </x15:connection>
      </ext>
    </extLst>
  </connection>
  <connection id="3" xr16:uid="{093321B9-72A5-4686-8046-7DD0F3CD63D0}" name="WorksheetConnection_relapse master.xlsx!STUDYID_WEB" type="102" refreshedVersion="8" minRefreshableVersion="5">
    <extLst>
      <ext xmlns:x15="http://schemas.microsoft.com/office/spreadsheetml/2010/11/main" uri="{DE250136-89BD-433C-8126-D09CA5730AF9}">
        <x15:connection id="STUDYID_WEB">
          <x15:rangePr sourceName="_xlcn.WorksheetConnection_relapsemaster.xlsxSTUDYID_WEB1"/>
        </x15:connection>
      </ext>
    </extLst>
  </connection>
</connections>
</file>

<file path=xl/sharedStrings.xml><?xml version="1.0" encoding="utf-8"?>
<sst xmlns="http://schemas.openxmlformats.org/spreadsheetml/2006/main" count="4811" uniqueCount="1429">
  <si>
    <t>Need to bear in mind that datasets don't necessarily correspond to STUDYIDs in a 1:1 manner</t>
  </si>
  <si>
    <t>STUDYID</t>
  </si>
  <si>
    <t>Info about Contribution</t>
  </si>
  <si>
    <t>Info about Study</t>
  </si>
  <si>
    <t>Info about Dataset</t>
  </si>
  <si>
    <t>Info about Data Availability</t>
  </si>
  <si>
    <t>IDDO Data Contribution ID</t>
  </si>
  <si>
    <t>IDDO Research Theme</t>
  </si>
  <si>
    <t>Contributing Organisation</t>
  </si>
  <si>
    <t>Year Shared</t>
  </si>
  <si>
    <t>Data Sharing Designation</t>
  </si>
  <si>
    <t>Clinical Trial Registration Number(s)</t>
  </si>
  <si>
    <t>Associated Publication(s) Name</t>
  </si>
  <si>
    <t>Publication DOI(s)</t>
  </si>
  <si>
    <t>Publication PubMedID(s)</t>
  </si>
  <si>
    <t>Country(s) of Data Collection</t>
  </si>
  <si>
    <t>Trial Disease/Condition Indication</t>
  </si>
  <si>
    <t>Treatment(s)</t>
  </si>
  <si>
    <t>Route of Drug Administration</t>
  </si>
  <si>
    <t>Planned Treatment(s) Duration</t>
  </si>
  <si>
    <t>Trial Type</t>
  </si>
  <si>
    <t>Randomized?</t>
  </si>
  <si>
    <t>Trial Blinding Schema</t>
  </si>
  <si>
    <t>Study Start Date</t>
  </si>
  <si>
    <t>Study End Date</t>
  </si>
  <si>
    <t>Planned Minimum Age</t>
  </si>
  <si>
    <t>Planned Maximum Age</t>
  </si>
  <si>
    <t>Planned Duration of Follow-up</t>
  </si>
  <si>
    <t>Number of Individual Patients</t>
  </si>
  <si>
    <t>Curation Status</t>
  </si>
  <si>
    <t>Format of Data</t>
  </si>
  <si>
    <t>Age-Distribution: Under 5 Years</t>
  </si>
  <si>
    <t>Age-Distribution: 5-15 Years</t>
  </si>
  <si>
    <t>Age-Distribution: Over 15 Years</t>
  </si>
  <si>
    <t>Number Female Patients</t>
  </si>
  <si>
    <t>Number Male Patients</t>
  </si>
  <si>
    <t>Demographics</t>
  </si>
  <si>
    <t>Vital Signs</t>
  </si>
  <si>
    <t>Pregnancy Data</t>
  </si>
  <si>
    <t>Laboratory Tests</t>
  </si>
  <si>
    <t>Clinical and Adverse Events</t>
  </si>
  <si>
    <t>VAQMOU</t>
  </si>
  <si>
    <t xml:space="preserve">Visceral Leishmaniasis </t>
  </si>
  <si>
    <t>Drugs for Neglected Diseases Initiative [CHE]</t>
  </si>
  <si>
    <t>Data Access Committee</t>
  </si>
  <si>
    <t>ACTRN12610000130066</t>
  </si>
  <si>
    <t>UNK</t>
  </si>
  <si>
    <t>Nepal</t>
  </si>
  <si>
    <t>Visceral leishmaniasis</t>
  </si>
  <si>
    <t>AMPHOTERICIN B</t>
  </si>
  <si>
    <t>INTRAVENOUS</t>
  </si>
  <si>
    <t>P5D</t>
  </si>
  <si>
    <t>INTERVENTIONAL</t>
  </si>
  <si>
    <t>N</t>
  </si>
  <si>
    <t>OPEN LABEL</t>
  </si>
  <si>
    <t>P2Y</t>
  </si>
  <si>
    <t>P65Y</t>
  </si>
  <si>
    <t>P6M5D</t>
  </si>
  <si>
    <t>Completed</t>
  </si>
  <si>
    <t>IDDO SDTM Implementation</t>
  </si>
  <si>
    <t>Y</t>
  </si>
  <si>
    <t>VBNRQO</t>
  </si>
  <si>
    <t>Kala-Azar Medical Research Centre [IND]</t>
  </si>
  <si>
    <t>CTRI/2017/05/008656</t>
  </si>
  <si>
    <t>India</t>
  </si>
  <si>
    <t>P5Y</t>
  </si>
  <si>
    <t>P6M</t>
  </si>
  <si>
    <t>VBXLIU</t>
  </si>
  <si>
    <t>Contributor Controlled</t>
  </si>
  <si>
    <t>NCT00832208</t>
  </si>
  <si>
    <t>Safety and efficacy of single dose versus multiple doses of AmBisome for treatment of visceral leishmaniasis in eastern Africa: a randomised trial</t>
  </si>
  <si>
    <t>https://doi.org/10.1371/journal.pntd.0002613</t>
  </si>
  <si>
    <t>Ethiopia | Sudan (The)</t>
  </si>
  <si>
    <t>P21 | P1D</t>
  </si>
  <si>
    <t>2009-04</t>
  </si>
  <si>
    <t>2011-03</t>
  </si>
  <si>
    <t>P4Y</t>
  </si>
  <si>
    <t>PINF</t>
  </si>
  <si>
    <t>VCNXEB</t>
  </si>
  <si>
    <t>Médecins Sans Frontières [CHE]</t>
  </si>
  <si>
    <t>Safety and effectiveness of amphotericin B deoxycholate for the treatment of visceral leishmaniasis in Uganda</t>
  </si>
  <si>
    <t>https://doi.org/10.1179/136485908x252142</t>
  </si>
  <si>
    <t>Uganda</t>
  </si>
  <si>
    <t>P8M</t>
  </si>
  <si>
    <t>2003-09</t>
  </si>
  <si>
    <t>2004-04</t>
  </si>
  <si>
    <t>P0Y</t>
  </si>
  <si>
    <t>P30D</t>
  </si>
  <si>
    <t>VDOQEZ</t>
  </si>
  <si>
    <t>Not Started</t>
  </si>
  <si>
    <t>Pending</t>
  </si>
  <si>
    <t>VDXALE</t>
  </si>
  <si>
    <t>Geneva University Hospitals [CHE]</t>
  </si>
  <si>
    <t>Treatment of visceral leishmaniasis in south-eastern Nepal: decreasing efficacy of sodium stibogluconate and need for a policy to limit further decline</t>
  </si>
  <si>
    <t>https://doi.org/10.1016/s0035-9203(03)90167-2</t>
  </si>
  <si>
    <t>SODIUM STIBOGLUCONATE ANHYDROUS</t>
  </si>
  <si>
    <t>INTRAMUSCULAR</t>
  </si>
  <si>
    <t>1999-07</t>
  </si>
  <si>
    <t>2001-01</t>
  </si>
  <si>
    <t>P1Y</t>
  </si>
  <si>
    <t>VEZMZD</t>
  </si>
  <si>
    <t>NCT00370825</t>
  </si>
  <si>
    <t>New treatment approach in Indian visceral leishmaniasis: single-dose liposomal amphotericin B followed by short-course oral miltefosine</t>
  </si>
  <si>
    <t>https://doi.org/10.1086/591972</t>
  </si>
  <si>
    <t>AMPHOTERICIN B | MILTEFOSINE</t>
  </si>
  <si>
    <t>INTRAVENOUS | ORAL</t>
  </si>
  <si>
    <t>P1D | P11D | P15D | P15 | P8D</t>
  </si>
  <si>
    <t>Y | N</t>
  </si>
  <si>
    <t>2006-08</t>
  </si>
  <si>
    <t>2007-03</t>
  </si>
  <si>
    <t>P12Y</t>
  </si>
  <si>
    <t>P9M</t>
  </si>
  <si>
    <t>VFEFCS</t>
  </si>
  <si>
    <t>NCT00629031</t>
  </si>
  <si>
    <t>Short-course paromomycin treatment of visceral leishmaniasis in India: 14-day vs 21-day treatment</t>
  </si>
  <si>
    <t>https://doi.org/10.1086/605438</t>
  </si>
  <si>
    <t>PAROMOMYCIN SULFATE</t>
  </si>
  <si>
    <t>P14D | P21D</t>
  </si>
  <si>
    <t>2008-08</t>
  </si>
  <si>
    <t>P55Y</t>
  </si>
  <si>
    <t>P7M</t>
  </si>
  <si>
    <t>VFETIZ</t>
  </si>
  <si>
    <t>MILTEFOSINE</t>
  </si>
  <si>
    <t>ORAL</t>
  </si>
  <si>
    <t>P28D</t>
  </si>
  <si>
    <t>In Progress</t>
  </si>
  <si>
    <t>VFFFOP</t>
  </si>
  <si>
    <t>Human placental extract offers protection against experimental visceral leishmaniasis: a pilot study for a phase-I clinical trial</t>
  </si>
  <si>
    <t>https://doi.org/10.1179/136485908x252133</t>
  </si>
  <si>
    <t>HUMAN PLACENTAL TISSUE | AMPHOTERICIN B</t>
  </si>
  <si>
    <t>INTRAMUSCULAR | INTRAVENOUS</t>
  </si>
  <si>
    <t>2003-12</t>
  </si>
  <si>
    <t>2005-01</t>
  </si>
  <si>
    <t>VFSPWD</t>
  </si>
  <si>
    <t>NCT00255567</t>
  </si>
  <si>
    <t>Paromomycin for the treatment of visceral leishmaniasis in Sudan: a randomized, open-label, dose-finding study</t>
  </si>
  <si>
    <t>https://doi.org/10.1371/journal.pntd.0000855</t>
  </si>
  <si>
    <t>Sudan (The)</t>
  </si>
  <si>
    <t>P21D | P28D</t>
  </si>
  <si>
    <t>2005-10</t>
  </si>
  <si>
    <t>2006-10</t>
  </si>
  <si>
    <t>P60Y</t>
  </si>
  <si>
    <t>VGKSTG</t>
  </si>
  <si>
    <t>Institute of Tropical Medicine Antwerp [BEL]</t>
  </si>
  <si>
    <t>The sensitivity of clinical isolates of Leishmania from Peru and Nepal to miltefosine | Epidemiological dynamics of antimonial resistance in Leishmania donovani: genotyping reveals a polyclonal population structure among naturally-resistant clinical isolates from Nepal | Antimonial treatment of visceral leishmaniasis: are current in vitro susceptibility assays adequate for prognosis of in vivo therapy outcome? | Clinical risk factors for therapeutic failure in kala-azar patients treated with pentavalent antimonials in Nepal | Whole genome sequencing of multiple Leishmania donovani clinical isolates provides insights into population structure and mechanisms of drug resistance | Evolutionary genomics of epidemic visceral leishmaniasis in the Indian subcontinent | Single locus genotyping to track Leishmania donovani in the Indian subcontinent: Application in Nepal | Integrated genomic and metabolomic profiling of ISC1, an emerging Leishmania donovani population in the Indian subcontinent</t>
  </si>
  <si>
    <t>https://doi.org/10.1016/j.meegid.2006.08.005 | https://doi.org/10.1016/j.micinf.2007.01.009 | https://doi.org/10.1016/j.trstmh.2009.08.002 | https://doi.org/10.1101/gr.123430.111
| https://doi.org/10.7554/elife.12613 | https://doi.org/10.1371/journal.pntd.0005420 | https://doi.org/10.1016/j.meegid.2018.04.021</t>
  </si>
  <si>
    <t>16103588 | 17010679 | 17350306 | 19726065 | 22038251 | 27003289 | 28249021 | 29679745</t>
  </si>
  <si>
    <t>VHHGTF</t>
  </si>
  <si>
    <t>​Post-kala-azar dermal leishmaniasis</t>
  </si>
  <si>
    <t>PARMOMYCIN</t>
  </si>
  <si>
    <t>VHNNMS</t>
  </si>
  <si>
    <t>NCT01566552</t>
  </si>
  <si>
    <t>Effectiveness of Single-Dose Liposomal Amphotericin B in Visceral Leishmaniasis in Bihar</t>
  </si>
  <si>
    <t>https://doi.org/10.4269/ajtmh.19-0179</t>
  </si>
  <si>
    <t>P1D</t>
  </si>
  <si>
    <t>OBSERVATIONAL</t>
  </si>
  <si>
    <t>NA</t>
  </si>
  <si>
    <t>2013-06</t>
  </si>
  <si>
    <t>2017-02</t>
  </si>
  <si>
    <t>VHTYWO</t>
  </si>
  <si>
    <t>Geographical variation in the response of visceral leishmaniasis to paromomycin in East Africa: a multicentre, open-label, randomized trial</t>
  </si>
  <si>
    <t>https://doi.org/10.1371/journal.pntd.0000709</t>
  </si>
  <si>
    <t>Ethiopia | Kenya | Sudan (The)</t>
  </si>
  <si>
    <t xml:space="preserve">SODIUM STIBOGLUCONATE ANHYDROUS | PAROMOMYCIN </t>
  </si>
  <si>
    <t>P30D | P21D | P17D</t>
  </si>
  <si>
    <t>VIVXJN</t>
  </si>
  <si>
    <t>NCT00876824</t>
  </si>
  <si>
    <t>Efficacy and safety of amphotericin B emulsion versus liposomal formulation in Indian patients with visceral leishmaniasis: a randomized, open-label study</t>
  </si>
  <si>
    <t>https://doi.org/10.1371/journal.pntd.0003169</t>
  </si>
  <si>
    <t>VIZGFA</t>
  </si>
  <si>
    <t>Phase 4 trial of miltefosine for the treatment of Indian visceral leishmaniasis</t>
  </si>
  <si>
    <t>https://doi.org/10.1086/519690</t>
  </si>
  <si>
    <t>VJLUVK</t>
  </si>
  <si>
    <t>Efficacy and safety of miltefosine in treatment ofpost-kala-azar dermal leishmaniasis</t>
  </si>
  <si>
    <t>https://doi.org/10.1155/2015/414378</t>
  </si>
  <si>
    <t>P12W</t>
  </si>
  <si>
    <t>P10Y</t>
  </si>
  <si>
    <t>VKRFLS</t>
  </si>
  <si>
    <t>Médecins Sans Frontières [NLD]</t>
  </si>
  <si>
    <t>A comparison of miltefosine and sodium stibogluconate for treatment of visceral leishmaniasis in an Ethiopian population with high prevalence of HIV infection</t>
  </si>
  <si>
    <t>https://doi.org/10.1086/505217</t>
  </si>
  <si>
    <t>Ethiopia</t>
  </si>
  <si>
    <t>MILTEFOSINE | SODIUM STIBOGLUCONATE ANHYDROUS</t>
  </si>
  <si>
    <t>ORAL | INTRAMUSCULAR</t>
  </si>
  <si>
    <t>P28D | P30D</t>
  </si>
  <si>
    <t>P15Y</t>
  </si>
  <si>
    <t>VLAULV</t>
  </si>
  <si>
    <t>NCT00628719</t>
  </si>
  <si>
    <t>Single-dose liposomal amphotericin B for visceral leishmaniasis in India</t>
  </si>
  <si>
    <t>https://doi.org/10.1056/nejmoa0903627</t>
  </si>
  <si>
    <t>P1D | P30D</t>
  </si>
  <si>
    <t>VLBXPMF</t>
  </si>
  <si>
    <t>University of Brasília [BRA]</t>
  </si>
  <si>
    <t>NCT01310738</t>
  </si>
  <si>
    <t>Efficacy and safety of available treatments for visceral leishmaniasis in Brazil: A multicenter, randomized, open label trial</t>
  </si>
  <si>
    <t>https://doi.org/10.1371/journal.pntd.0005706</t>
  </si>
  <si>
    <t>Brazil</t>
  </si>
  <si>
    <t>MEGLUMINE ANTIMONIATE | AMPHOTERICIN B</t>
  </si>
  <si>
    <t>P20D | P7D | P14D | P11D</t>
  </si>
  <si>
    <t>2011-02</t>
  </si>
  <si>
    <t>2015-02</t>
  </si>
  <si>
    <t>P50Y</t>
  </si>
  <si>
    <t>VLEALTT</t>
  </si>
  <si>
    <t>Rajendra Memorial Research Institute of Medical Sciences [IND]</t>
  </si>
  <si>
    <t>Efficacy and Safety of Liposomal Amphotericin B for Visceral Leishmaniasis in Children and Adolescents at a Tertiary Care Center in Bihar, India</t>
  </si>
  <si>
    <t>https://doi.org/10.4269/ajtmh.17-0094</t>
  </si>
  <si>
    <t>2014-02</t>
  </si>
  <si>
    <t>2016-11</t>
  </si>
  <si>
    <t>VLGZNPZ</t>
  </si>
  <si>
    <t>PATIENT REGISTRY</t>
  </si>
  <si>
    <t>VLJCBVR</t>
  </si>
  <si>
    <t>VLJYNYC</t>
  </si>
  <si>
    <t>National and Kapodistrian University of Athens [GRC]</t>
  </si>
  <si>
    <t>Two doses of a lipid formulation of amphotericin B for the treatment of Mediterranean visceral leishmaniasis</t>
  </si>
  <si>
    <t>https://doi.org/10.1086/367843</t>
  </si>
  <si>
    <t>Greece</t>
  </si>
  <si>
    <t xml:space="preserve">MEGLUMINE ANTIMONIATE  </t>
  </si>
  <si>
    <t>1993-01</t>
  </si>
  <si>
    <t>1996-12</t>
  </si>
  <si>
    <t>P14Y</t>
  </si>
  <si>
    <t>VLKZANS</t>
  </si>
  <si>
    <t>P15D</t>
  </si>
  <si>
    <t>VLNAZSK</t>
  </si>
  <si>
    <t>NCT00371995</t>
  </si>
  <si>
    <t>Ambisome plus miltefosine for Indian patients with kala-azar</t>
  </si>
  <si>
    <t>https://doi.org/10.1016/j.trstmh.2010.10.008</t>
  </si>
  <si>
    <t>2007-10</t>
  </si>
  <si>
    <t>2010-02</t>
  </si>
  <si>
    <t>VLNXMEA</t>
  </si>
  <si>
    <t>A controlled, randomized nonblinded clinical trial to assess the efficacy of amphotericin B deoxycholate as compared to pentamidine for the treatment of antimony unresponsive visceral leishmaniasis cases in Bihar, India</t>
  </si>
  <si>
    <t>PENTAMIDINE | AMPHOTERICIN B</t>
  </si>
  <si>
    <t>INTRAVENOUS | INTRAMUSCULAR</t>
  </si>
  <si>
    <t>P6Y</t>
  </si>
  <si>
    <t>VLOGDIL</t>
  </si>
  <si>
    <t>VLPITOH</t>
  </si>
  <si>
    <t>CTRI/2018/05/014015</t>
  </si>
  <si>
    <t>A randomized, open-label study to evaluate the efficacy and safety of liposomal amphotericin B (AmBisome) versus miltefosine in patients with post-kala-azar dermal leishmaniasis</t>
  </si>
  <si>
    <t>https://doi.org/10.25259/ijdvl_410_19</t>
  </si>
  <si>
    <t>P3W | P12W</t>
  </si>
  <si>
    <t>2017-03</t>
  </si>
  <si>
    <t>2018-10</t>
  </si>
  <si>
    <t>P12M</t>
  </si>
  <si>
    <t>VLSRWOH</t>
  </si>
  <si>
    <t>CTRI/2016/05/006958</t>
  </si>
  <si>
    <t>To evaluate efficacy and safety of amphotericin B in two different doses in the treatment of post kala-azar dermal leishmaniasis (PKDL)</t>
  </si>
  <si>
    <t>https://doi.org/10.1371/journal.pone.0174497</t>
  </si>
  <si>
    <t>VLTTPJC</t>
  </si>
  <si>
    <t>P2D | P5D</t>
  </si>
  <si>
    <t>1996-01 | 1997-01</t>
  </si>
  <si>
    <t>1997-12 | 2001-12</t>
  </si>
  <si>
    <t>VLWDJBR</t>
  </si>
  <si>
    <t>VLWUHVY</t>
  </si>
  <si>
    <t>University of Khartoum [SDN]</t>
  </si>
  <si>
    <t>VLZUKHR</t>
  </si>
  <si>
    <t>Pharmacovigilance of Miltefosine in Treatment of Visceral Leishmaniasis in Endemic Areas of Bihar, India</t>
  </si>
  <si>
    <t>https://doi.org/10.4269/ajtmh.16-0242</t>
  </si>
  <si>
    <t>2012-01</t>
  </si>
  <si>
    <t>P70Y</t>
  </si>
  <si>
    <t>VMEYCW</t>
  </si>
  <si>
    <t>VMHKNI</t>
  </si>
  <si>
    <t>NCT02431143</t>
  </si>
  <si>
    <t xml:space="preserve"> Pharmacokinetics, Safety, and Efficacy of an Allometric Miltefosine Regimen for the Treatment of Visceral Leishmaniasis in Eastern African Children: An Open-label, Phase II Clinical Trial</t>
  </si>
  <si>
    <t>https://doi.org/10.1093/cid/ciy747</t>
  </si>
  <si>
    <t>Kenya | Uganda</t>
  </si>
  <si>
    <t>2015-05</t>
  </si>
  <si>
    <t>2016-04</t>
  </si>
  <si>
    <t>VOAYGC</t>
  </si>
  <si>
    <t>A randomized comparison of branded sodium stibogluconate and generic sodium stibogluconate for the treatment of visceral leishmaniasis under field conditions in Sudan</t>
  </si>
  <si>
    <t>https://doi.org/10.1046/j.1365-3156.2000.00555.x</t>
  </si>
  <si>
    <t>SODIUM STIBOGLUCONATE</t>
  </si>
  <si>
    <t>VPCOIF</t>
  </si>
  <si>
    <t>VQBODC</t>
  </si>
  <si>
    <t>NCT01067443</t>
  </si>
  <si>
    <t>Efficacy and Safety of AmBisome in Combination with Sodium Stibogluconate or Miltefosine and Miltefosine Monotherapy for African Visceral Leishmaniasis: Phase II Randomized Trial</t>
  </si>
  <si>
    <t>https://doi.org/10.1371/journal.pntd.0004880</t>
  </si>
  <si>
    <t>Kenya | Sudan (The)</t>
  </si>
  <si>
    <t>AMPHOTERICIN B | SODIUM STIBOGLUCONATE | MILTEFOSINE</t>
  </si>
  <si>
    <t>INTRAVENOUS | INTRAMUSCULAR | ORAL</t>
  </si>
  <si>
    <t>P11D | P28D</t>
  </si>
  <si>
    <t>2010-03</t>
  </si>
  <si>
    <t>2011-06</t>
  </si>
  <si>
    <t>P7Y</t>
  </si>
  <si>
    <t>VQDMAB</t>
  </si>
  <si>
    <t>NCT00497601</t>
  </si>
  <si>
    <t>Safety and efficacy of high-dose infusions of a preformed amphotericin B fat emulsion for treatment of Indian visceral leishmaniasis</t>
  </si>
  <si>
    <t>P3D | P1D</t>
  </si>
  <si>
    <t>P3M</t>
  </si>
  <si>
    <t>VQEVVD</t>
  </si>
  <si>
    <t>A phase II dose-ranging study of sitamaquine for the treatment of visceral leishmaniasis in India</t>
  </si>
  <si>
    <t>SITAMAQUINE</t>
  </si>
  <si>
    <t>VQKRHN</t>
  </si>
  <si>
    <t>Safety of a pre-formulated amphotericin B lipid emulsion for the treatment of Indian Kala-azar</t>
  </si>
  <si>
    <t>https://doi.org/10.1111/j.1365-3156.2008.02128.x</t>
  </si>
  <si>
    <t>P3D</t>
  </si>
  <si>
    <t>VQYIFR</t>
  </si>
  <si>
    <t>VRBQIF</t>
  </si>
  <si>
    <t>CTRI/2011/11/002145</t>
  </si>
  <si>
    <t>Single-dose indigenous liposomal amphotericin B in the treatment of Indian visceral leishmaniasis: a phase 2 study</t>
  </si>
  <si>
    <t>https://doi.org/10.4269/ajtmh.14-0259</t>
  </si>
  <si>
    <t>VRPLOP</t>
  </si>
  <si>
    <t>NCT03636659 | CTRI/2018/04/013350</t>
  </si>
  <si>
    <t>P18Y</t>
  </si>
  <si>
    <t>VSEVQC</t>
  </si>
  <si>
    <t>Sodium stibogluconate (SSG) &amp; paromomycin combination compared to SSG for visceral leishmaniasis in East Africa: a randomised controlled trial</t>
  </si>
  <si>
    <t>https://doi.org/10.1371/journal.pntd.0001674</t>
  </si>
  <si>
    <t>Sudan (The) | Uganda | Ethiopia | Kenya</t>
  </si>
  <si>
    <t>SODIUM STIBOGLUCONATE ANHYDROUS | PAROMOMYCIN  SULFATE</t>
  </si>
  <si>
    <t>2004-11</t>
  </si>
  <si>
    <t>2010-01</t>
  </si>
  <si>
    <t>VSGPDL</t>
  </si>
  <si>
    <t>VSZYND</t>
  </si>
  <si>
    <t>VTGZMS</t>
  </si>
  <si>
    <t>VUFCZW</t>
  </si>
  <si>
    <t>Ethiopian visceral leishmaniasis: generic and proprietary sodium stibogluconate are equivalent; HIV co-infected patients have a poor outcome</t>
  </si>
  <si>
    <t>https://doi.org/10.1016/s0035-9203(01)90110-5</t>
  </si>
  <si>
    <t>1999-04-31</t>
  </si>
  <si>
    <t>VUNQQC</t>
  </si>
  <si>
    <t>Oral miltefosine for Indian post-kala-azar dermal
leishmaniasis: a randomised trial</t>
  </si>
  <si>
    <t>https://doi.org/10.1111/tmi.12015</t>
  </si>
  <si>
    <t>2007-07</t>
  </si>
  <si>
    <t>2009-10</t>
  </si>
  <si>
    <t>VVNGOE</t>
  </si>
  <si>
    <t>VWPJRM</t>
  </si>
  <si>
    <t>NCT00216346</t>
  </si>
  <si>
    <t>Injectable paromomycin for Visceral leishmaniasis in India</t>
  </si>
  <si>
    <t>https://doi.org/10.1056/nejmoa066536</t>
  </si>
  <si>
    <t>AMPHOTERICIN B | PARMOMYCIN SULFATE</t>
  </si>
  <si>
    <t>P30D | P21D</t>
  </si>
  <si>
    <t>VXBELH</t>
  </si>
  <si>
    <t>SODIUM ANTIMONY GLUCONATE</t>
  </si>
  <si>
    <t>VYDSGR</t>
  </si>
  <si>
    <t>Efficacy of miltefosine in the treatment of visceral leishmaniasis in India after a decade of use | Failure of miltefosine treatment for visceral leishmaniasis in children and men in South-East Asia</t>
  </si>
  <si>
    <t>https://doi.org/10.1093/cid/cis474 | https://doi.org/10.1371/journal.pone.0100220</t>
  </si>
  <si>
    <t>22573856 | 24941345</t>
  </si>
  <si>
    <t>2009-09</t>
  </si>
  <si>
    <t>2010-10</t>
  </si>
  <si>
    <t>VYUCNG</t>
  </si>
  <si>
    <t xml:space="preserve">Data Access Committee </t>
  </si>
  <si>
    <t>MILTEFOSINE | PARMOMYCIN | AMPHOTERICIN B</t>
  </si>
  <si>
    <t>ORAL | INTRAMUSCULAR | INTRAVENOUS</t>
  </si>
  <si>
    <t>VZUYLH</t>
  </si>
  <si>
    <t>NCT00696969</t>
  </si>
  <si>
    <t>Comparison of short-course multidrug treatment with standard therapy for visceral leishmaniasis in India: an open-label, non-inferiority, randomised controlled trial</t>
  </si>
  <si>
    <t>https://doi.org/10.1016/s0140-6736(10)62050-8</t>
  </si>
  <si>
    <t>AMPHOTERICIN B | MILTEFOSINE | PAROMOMYCIN</t>
  </si>
  <si>
    <t>INTRAVENOUS | ORAL | INTRAMUSCULAR</t>
  </si>
  <si>
    <t>P30D | P7D | P10D</t>
  </si>
  <si>
    <t>2008-06</t>
  </si>
  <si>
    <t>Protocol</t>
  </si>
  <si>
    <t>Year published</t>
  </si>
  <si>
    <t>`</t>
  </si>
  <si>
    <t>Ref ID</t>
  </si>
  <si>
    <t>Yes</t>
  </si>
  <si>
    <t>DOMAIN 1: Participants</t>
  </si>
  <si>
    <t>1.1 Were appropriate data sources used, e.g. cohort, RCT or nested case-control study data?</t>
  </si>
  <si>
    <t>1.2 Were all inclusions and exclusions of participants appropriate?`</t>
  </si>
  <si>
    <t>DOMAIN 2: Predictors</t>
  </si>
  <si>
    <t>2.1 Were predictors defined and assessed in a similar way for all participants?</t>
  </si>
  <si>
    <t>2.2 Were predictor assessments made without knowledge of outcome data?</t>
  </si>
  <si>
    <t>2.3 Are all predictors available at the time the model is intended to be used?</t>
  </si>
  <si>
    <t>Risk (domain 1)</t>
  </si>
  <si>
    <t>Rationale (domain 1)</t>
  </si>
  <si>
    <t>Risk (domain 2)</t>
  </si>
  <si>
    <t>Rationale (domain 2)</t>
  </si>
  <si>
    <t>DOMAIN 3: Outcome</t>
  </si>
  <si>
    <t>3.1 Was the outcome determined appropriately?</t>
  </si>
  <si>
    <t>3.2 Was a pre-specified or standard outcome definition used?</t>
  </si>
  <si>
    <t>3.3 Were predictors excluded from the outcome definition?</t>
  </si>
  <si>
    <t>3.4 Was the outcome defined and determined in a similar way for all participants?</t>
  </si>
  <si>
    <t>3.5 Was the outcome determined without knowledge of predictor information?</t>
  </si>
  <si>
    <t>3.6 Was the time interval between predictor assessment and outcome determination 
appropriate?</t>
  </si>
  <si>
    <t>Risk (domain 3)</t>
  </si>
  <si>
    <t>Rationale (domain 3)</t>
  </si>
  <si>
    <t>Overall assessment</t>
  </si>
  <si>
    <t>Risk of bias (overall)</t>
  </si>
  <si>
    <t>Comments</t>
  </si>
  <si>
    <t>Risk of bias</t>
  </si>
  <si>
    <t>Low</t>
  </si>
  <si>
    <t>High</t>
  </si>
  <si>
    <t>Unclear</t>
  </si>
  <si>
    <t>Low risk of bias</t>
  </si>
  <si>
    <t>Answers</t>
  </si>
  <si>
    <t>No</t>
  </si>
  <si>
    <t>Probably yes</t>
  </si>
  <si>
    <t>Probably no</t>
  </si>
  <si>
    <t>No information</t>
  </si>
  <si>
    <t>Drugs</t>
  </si>
  <si>
    <t>Amphotericin B deoxycholate</t>
  </si>
  <si>
    <t>Sodium stibogluconate</t>
  </si>
  <si>
    <t>Meglumine antimoniate</t>
  </si>
  <si>
    <t>Pentamidine</t>
  </si>
  <si>
    <t>Paromomycin</t>
  </si>
  <si>
    <t>Miltefosine</t>
  </si>
  <si>
    <t>Main conclusion of paper</t>
  </si>
  <si>
    <t>Liposomal amphotericin B was found to be very effective and safe in the treatment of VL. A longer follow-up period of 12 months is recommended to pick up late relapses.</t>
  </si>
  <si>
    <t>Brand name</t>
  </si>
  <si>
    <t>AmBisome</t>
  </si>
  <si>
    <t>Manufacturer</t>
  </si>
  <si>
    <t>Gilead Sciences</t>
  </si>
  <si>
    <t>Sex</t>
  </si>
  <si>
    <t>Age</t>
  </si>
  <si>
    <t>Vital signs, weight, spleen size, haematological and biochemical parameters</t>
  </si>
  <si>
    <t>Initial evaluation (day 0)</t>
  </si>
  <si>
    <t>30 days</t>
  </si>
  <si>
    <t xml:space="preserve">Haematological and biochemical parameters were recorded at day 0, 1, and 30. Day 30: clinical examination (including temperature, weight, liver and spleen size assessment). If 'persistent signs and symptoms' at day 30: splenic aspirate performed and smears examined for Leishmania parasites. </t>
  </si>
  <si>
    <t>Ongoing evaluation (day &gt; 0 to initial cure assessment)</t>
  </si>
  <si>
    <t>Ongoing evaluation (&gt; initial cure assessment)</t>
  </si>
  <si>
    <t>Relapse was defined as the recurrence of clinical symptoms of VL and the presence of parasites in splenic smear at follow-up</t>
  </si>
  <si>
    <r>
      <t xml:space="preserve">Patients were instructed to visit the center if they experience recurrence of clinical symptoms of VL. If relapse was suspected on their visit, parasitological confirmation was performed by splenic smear examination. All patients </t>
    </r>
    <r>
      <rPr>
        <i/>
        <sz val="12"/>
        <color theme="1"/>
        <rFont val="Aptos Narrow"/>
        <family val="2"/>
        <scheme val="minor"/>
      </rPr>
      <t>with initial cure</t>
    </r>
    <r>
      <rPr>
        <sz val="12"/>
        <color theme="1"/>
        <rFont val="Aptos Narrow"/>
        <family val="2"/>
        <scheme val="minor"/>
      </rPr>
      <t xml:space="preserve"> invited for follow-up visits at 6 and 12 months after treatment. </t>
    </r>
  </si>
  <si>
    <t>Rescue treatment</t>
  </si>
  <si>
    <t xml:space="preserve"> Patients with treatment failure or severe AEs of common terminology criteria (CTC) grade 3 or above were given rescue treatment with AmB (0.75 mg/kg administered for 15 daily infusions)</t>
  </si>
  <si>
    <t>Exclusion criteria</t>
  </si>
  <si>
    <t>Patients with serious illnesses or concurrent infections, such as tuberculosis or bacterial pneumonia, HIV, and Hepatitis B/C, and known allergy to AmB were excluded</t>
  </si>
  <si>
    <t>Time point</t>
  </si>
  <si>
    <t xml:space="preserve">Denominator </t>
  </si>
  <si>
    <t>Weight</t>
  </si>
  <si>
    <t>Previous VL treatment</t>
  </si>
  <si>
    <t>Timepoint</t>
  </si>
  <si>
    <t>Baseline</t>
  </si>
  <si>
    <t>Acceptable range (lower)</t>
  </si>
  <si>
    <t>Acceptable range (upper)</t>
  </si>
  <si>
    <t>5 days before recruitment</t>
  </si>
  <si>
    <t>5 days after recruitment</t>
  </si>
  <si>
    <t>25 days after treatment completion</t>
  </si>
  <si>
    <t>35 days after treatment completion</t>
  </si>
  <si>
    <t>Denominator reported?</t>
  </si>
  <si>
    <t>Reported time point measured</t>
  </si>
  <si>
    <t>Tabulated in &gt; 2 groups?</t>
  </si>
  <si>
    <t>Mean</t>
  </si>
  <si>
    <t>Continuous measures: presented?</t>
  </si>
  <si>
    <t>Binary group cut-off: presented?</t>
  </si>
  <si>
    <t>Units</t>
  </si>
  <si>
    <t>Binary group: summary measure</t>
  </si>
  <si>
    <t>Standard deviation</t>
  </si>
  <si>
    <t>Median</t>
  </si>
  <si>
    <t>Range (lower)</t>
  </si>
  <si>
    <t>Range (upper)</t>
  </si>
  <si>
    <t>Here patient characteristics (including potential prognostic factors) are described</t>
  </si>
  <si>
    <t>Day 0 (pretreatment)</t>
  </si>
  <si>
    <t>Years</t>
  </si>
  <si>
    <t>IQR (lower)</t>
  </si>
  <si>
    <t>IQR (upper)</t>
  </si>
  <si>
    <t>Characteristic</t>
  </si>
  <si>
    <t>Temperature</t>
  </si>
  <si>
    <t>Spleen size</t>
  </si>
  <si>
    <t>Liver size</t>
  </si>
  <si>
    <t>Continuous</t>
  </si>
  <si>
    <t>Malnutrition (not weight)</t>
  </si>
  <si>
    <t>Vital sign</t>
  </si>
  <si>
    <t>Clinical</t>
  </si>
  <si>
    <t>History</t>
  </si>
  <si>
    <t>Demographic</t>
  </si>
  <si>
    <t>Type</t>
  </si>
  <si>
    <t>Cough</t>
  </si>
  <si>
    <t>Vomiting</t>
  </si>
  <si>
    <t>Weight loss</t>
  </si>
  <si>
    <t>-</t>
  </si>
  <si>
    <t>Male</t>
  </si>
  <si>
    <t>Binary group: number</t>
  </si>
  <si>
    <t>Binary group: percentage</t>
  </si>
  <si>
    <t>Kilograms</t>
  </si>
  <si>
    <t>30.0</t>
  </si>
  <si>
    <t>18.0</t>
  </si>
  <si>
    <t>45.0</t>
  </si>
  <si>
    <t>Yes/No</t>
  </si>
  <si>
    <t>Male/Female</t>
  </si>
  <si>
    <t>44</t>
  </si>
  <si>
    <t>3.8</t>
  </si>
  <si>
    <t>1143</t>
  </si>
  <si>
    <t>degrees Fahrenheit</t>
  </si>
  <si>
    <t>100</t>
  </si>
  <si>
    <t>101.4</t>
  </si>
  <si>
    <t>7.37</t>
  </si>
  <si>
    <t>Missing data reported?</t>
  </si>
  <si>
    <t>Temperature (duration)</t>
  </si>
  <si>
    <t>Days</t>
  </si>
  <si>
    <t>Binary</t>
  </si>
  <si>
    <t>30</t>
  </si>
  <si>
    <t>17</t>
  </si>
  <si>
    <t>60</t>
  </si>
  <si>
    <t>Weakness</t>
  </si>
  <si>
    <t>Rigor</t>
  </si>
  <si>
    <t>Creatinine</t>
  </si>
  <si>
    <t>Biochemical</t>
  </si>
  <si>
    <t>ALT</t>
  </si>
  <si>
    <t>Haemoglobin</t>
  </si>
  <si>
    <t>Platelet count</t>
  </si>
  <si>
    <t>WBC</t>
  </si>
  <si>
    <t>"Generalised weakness"</t>
  </si>
  <si>
    <t>Presence of</t>
  </si>
  <si>
    <t>56</t>
  </si>
  <si>
    <t>4.9</t>
  </si>
  <si>
    <t>248</t>
  </si>
  <si>
    <t>21.7</t>
  </si>
  <si>
    <t>99</t>
  </si>
  <si>
    <t>8.7</t>
  </si>
  <si>
    <t>11</t>
  </si>
  <si>
    <t>Centimetres</t>
  </si>
  <si>
    <t>2</t>
  </si>
  <si>
    <t>4</t>
  </si>
  <si>
    <t>1</t>
  </si>
  <si>
    <t>3</t>
  </si>
  <si>
    <t>Missing data comment</t>
  </si>
  <si>
    <t>mg/dL</t>
  </si>
  <si>
    <t>0.69</t>
  </si>
  <si>
    <t>0.26</t>
  </si>
  <si>
    <t>IU</t>
  </si>
  <si>
    <t>37</t>
  </si>
  <si>
    <t>24</t>
  </si>
  <si>
    <t>62</t>
  </si>
  <si>
    <t>g/dL</t>
  </si>
  <si>
    <t>8.0</t>
  </si>
  <si>
    <t>7.0</t>
  </si>
  <si>
    <t>9.50</t>
  </si>
  <si>
    <t>/mm^3</t>
  </si>
  <si>
    <t>101000.00</t>
  </si>
  <si>
    <t>53218.26</t>
  </si>
  <si>
    <t>4393.26</t>
  </si>
  <si>
    <t>2074.49</t>
  </si>
  <si>
    <t>35</t>
  </si>
  <si>
    <t>6</t>
  </si>
  <si>
    <t>Day 30</t>
  </si>
  <si>
    <t>1088</t>
  </si>
  <si>
    <t>In two patients, drug was stopped because of hypersensitivity reaction and 53 patients were lost to follow-up at day 30.</t>
  </si>
  <si>
    <t>20</t>
  </si>
  <si>
    <t>46</t>
  </si>
  <si>
    <t>97.5</t>
  </si>
  <si>
    <t>26.84</t>
  </si>
  <si>
    <t>0.63</t>
  </si>
  <si>
    <t>0.25</t>
  </si>
  <si>
    <t>32</t>
  </si>
  <si>
    <t>23</t>
  </si>
  <si>
    <t>43</t>
  </si>
  <si>
    <t>11.03</t>
  </si>
  <si>
    <t>9.4</t>
  </si>
  <si>
    <t>11.11</t>
  </si>
  <si>
    <t>254000.00</t>
  </si>
  <si>
    <t>95234.42</t>
  </si>
  <si>
    <t>10700</t>
  </si>
  <si>
    <t>5729.53</t>
  </si>
  <si>
    <t>Comment</t>
  </si>
  <si>
    <t>"Fever was present in all patients with a mean temperature of 101.4 (SD: 7.37) degree Fahrenheit (°F) and for a median duration of 30 (IQR: 17–60) days"</t>
  </si>
  <si>
    <t>39 with oral miltefosine and five with injection sodium stibogluconate</t>
  </si>
  <si>
    <t>A further two patients excluded due to adverse reactions to the liposomal amphotericin infusion</t>
  </si>
  <si>
    <t>Lost to follow-up after initial cure assessment not described</t>
  </si>
  <si>
    <t>Initial cure assessment - timing/definition comments</t>
  </si>
  <si>
    <t>Initial cure - timing - is this time after beginning treatment of after completing treatment?</t>
  </si>
  <si>
    <t>Not stated - but only single dose LAMB assessed</t>
  </si>
  <si>
    <t>Relapse timing - is this time after beginning treatment or after completing treatment?</t>
  </si>
  <si>
    <t>12 months relapse - number of patients assessed</t>
  </si>
  <si>
    <t>Evaluations</t>
  </si>
  <si>
    <t>not reported</t>
  </si>
  <si>
    <t>Other</t>
  </si>
  <si>
    <t>Overall comments</t>
  </si>
  <si>
    <t>Definition (source)</t>
  </si>
  <si>
    <t>Measurement details (source)</t>
  </si>
  <si>
    <t>6 months</t>
  </si>
  <si>
    <t>After end of treatment</t>
  </si>
  <si>
    <t>Date comments</t>
  </si>
  <si>
    <t>Values from Table 1 + 4  (not consistent with values from Table 2)</t>
  </si>
  <si>
    <t>&lt;=30</t>
  </si>
  <si>
    <t>538</t>
  </si>
  <si>
    <t>47.10</t>
  </si>
  <si>
    <t>&lt;=15</t>
  </si>
  <si>
    <t>607</t>
  </si>
  <si>
    <t>53.10</t>
  </si>
  <si>
    <t>&lt;=8</t>
  </si>
  <si>
    <t>540</t>
  </si>
  <si>
    <t>47.20</t>
  </si>
  <si>
    <t>&lt;=4</t>
  </si>
  <si>
    <t>676</t>
  </si>
  <si>
    <t>59.10</t>
  </si>
  <si>
    <t>This prospective, observational study was carried out at the VL treatment site at the Kala-Azar Medical Research Centre (KAMRC); Muzaffarpur, Bihar, India, between June 2013 and February 2017</t>
  </si>
  <si>
    <t>Criteria for exclusion were pregnant/breast-feeding women, women of child-bearing age not consenting to avoid preg- nancy during and after 6 months of treatment, seropositive for HIV, presence of a serious illness, concurrent diseases, such as tuberculosis or bacterial pneumonia, hemoglobin level &lt; 5.0 g/dL, granulocyte count &lt; 1,000 granulocytes/mm3, platelet count &lt; 40,000 platelets/mm3, hepatic transaminase levels &gt; 5 times of the normal limit, total bilirubin level &gt; 2.0 mg/dL, serum creatinine level above the upper normal limit (&gt; 1.5 mg/dL), prothrombin time &gt; 5 seconds above control, and/or inability of the subject or guardian to provide written informed consent.</t>
  </si>
  <si>
    <t>"once the completed a full day of VL treatment"</t>
  </si>
  <si>
    <t>After end of treatment (EoT), two follow-ups were made to assess side effects and disease relapse—one after 2 months and then after 6 months of EoT. Patients without any signs and symptoms suggestive of kala-azar at 6-month follow-up were considered as finally cured (Figure 1)</t>
  </si>
  <si>
    <t>Laboratory tests included complete blood counts, liver function test, that is, tests for AST, ALT, and bilirubin, and kidney function test (creatinine) on 0 day, 14th day, 29th day and 2nd and 6th month follow-up. Electrolyte tests (serum sodium and potas- sium) were also performed whenever patient complained of diarrhea, dehydration, vomiting, etc</t>
  </si>
  <si>
    <t>Not explicit: "Data collected for all patients diagnosed with VL/PKDL included general demographic information, clinical history, height, weight, and rapid diagnostic test result." Also laboratory tests (see day &gt; 0)</t>
  </si>
  <si>
    <t>12 defaulters and 5 deaths (646-17 = 629)</t>
  </si>
  <si>
    <t>"Miltefosine has been found to be very effective and extremely safe"  and also in the 15 female patients who became pregnant during the 6 month  follow-up, outcomes were good</t>
  </si>
  <si>
    <t>Reported in the abstract: "Outcomes of a larger data set of patients treated with this regimen from April 2012 to March 2015 were recorded."</t>
  </si>
  <si>
    <t>646</t>
  </si>
  <si>
    <t>58</t>
  </si>
  <si>
    <t>1.0</t>
  </si>
  <si>
    <t>375</t>
  </si>
  <si>
    <t>Broken down: &lt;14, 14-25, 25-35, 35-45, 45-55, ≥55 (31 patients &lt; 14 years old)</t>
  </si>
  <si>
    <t>&lt; 14</t>
  </si>
  <si>
    <t>199</t>
  </si>
  <si>
    <t>31</t>
  </si>
  <si>
    <t>Before treatment</t>
  </si>
  <si>
    <t>29th day</t>
  </si>
  <si>
    <t>Denominator not explicitly mentioned</t>
  </si>
  <si>
    <t>5.3 (male), 4.4 (female)</t>
  </si>
  <si>
    <t>2.1 (male), 1.7 (female)</t>
  </si>
  <si>
    <t>2.7 (male), 2.3 (female)</t>
  </si>
  <si>
    <t>1.2 (male), 1.0 (female)</t>
  </si>
  <si>
    <t>BMI</t>
  </si>
  <si>
    <t>Groups labelled as 'underweight, normal weight, overweight, obesity' and reported for males and females separately at day 0 and day 29 (post-treatment)</t>
  </si>
  <si>
    <t>"Reasons for exclusion were haemoglobin con centrations less than 50 g/L, total leucocyte count less than 1×10⁹/L, serum creatinine concentration outside the normal range of 55–140 μmol/L, platelet count less than 40×10⁹/L, serum aminotransferase concentration higher than three times the upper limit of the normal ranges, bilirubin concentration more than 34·2 μmol/L, prothrombin time more than 5 s longer than control, positive serology for HIV or hepatitis B or C viruses, severe concurrent illness, and receipt of any antileishmanial or antifungal drug in the previous 45 days. Pregnant and breast-feeding women, patients with known hypersensitivity to the study drugs, and those with diabetes, hypertension, or tuberculosis were also excluded."</t>
  </si>
  <si>
    <t>not applicable</t>
  </si>
  <si>
    <t>Treatment was started within 7 days of baseline evaluation, which included clinical assessment (ie, body temperature, weight, and liver and spleen size) and laboratory tests. Additionally, electrocardiography and chest radiography were done if clinically indicated. Splenic smears were graded from 0 to 6+ on a logarithmic scale according to Chulay and Bryceson;15 bone-marrow smears were obtained if splenic aspiration was not possible</t>
  </si>
  <si>
    <t>Once treatment was started, patients underwent daily clinical and scheduled laboratory assessments on day 7 and day 15 for all groups, and additionally on day 31 for the control group. The parasitological examination (splenic or bone_x0002_marrow smears) was repeated on day 31 in the control group and on day 15 for the other groups. 
Patients on combination treatments with a score of 1+ (1–10 parasites/ 1000 microscopic f elds; 10×100 magnification under oil immersion) on day 15 were again tested on day 45 for parasitological assessment.</t>
  </si>
  <si>
    <t>Day 45</t>
  </si>
  <si>
    <t>From beginning treatment</t>
  </si>
  <si>
    <t>Yes (day 31 in control group, day 15 in intervention groups, repeated day 45 if positive)</t>
  </si>
  <si>
    <t>For a definitive cure, assessed at 6 months (defined as 2 weeks before the 6-month point to 6 weeks afterwards) from the beginning of treatment, initial cure was needed with no signs or symptoms of relapse</t>
  </si>
  <si>
    <t>After beginning of treatment</t>
  </si>
  <si>
    <t>Those withdrawn because of adverse events or relapses after initial cure were given rescue treatment with liposomal amphotericin B in doses of 3 mg/kg per day for 5 days or another recommended treatment (paromomycin in one case) if liposomal amphotericin B was contraindicated.</t>
  </si>
  <si>
    <t>Per protocol vs Intention to treat analyss</t>
  </si>
  <si>
    <t>not descrbied</t>
  </si>
  <si>
    <t>The per protocol group consisted of all patients who were enrolled, had no major protocol deviation, received the full treatment, and were assessed at day 15 or 31, day 45, and 6 months (–2 to +6 weeks).</t>
  </si>
  <si>
    <t>634</t>
  </si>
  <si>
    <t>History of previous treatment &gt; 45 days before enrolment</t>
  </si>
  <si>
    <t>8</t>
  </si>
  <si>
    <t>Within 7 days enrolment</t>
  </si>
  <si>
    <t>≤ 18 years</t>
  </si>
  <si>
    <t>171</t>
  </si>
  <si>
    <t>27</t>
  </si>
  <si>
    <t>presented by arm</t>
  </si>
  <si>
    <t>422</t>
  </si>
  <si>
    <t>67 (calculated)</t>
  </si>
  <si>
    <t>27 (calculated)</t>
  </si>
  <si>
    <t>Baselne</t>
  </si>
  <si>
    <t>Splenic aspirate score</t>
  </si>
  <si>
    <t>Microbiological</t>
  </si>
  <si>
    <t>Splenic smears were graded from 0 to 6+ on a logarithmic scale according to Chulay and Bryceson</t>
  </si>
  <si>
    <t>Logarthmic scale</t>
  </si>
  <si>
    <t>Standard deviations calculated for each arm; overall mean score is calculated</t>
  </si>
  <si>
    <t>2.15</t>
  </si>
  <si>
    <t>40.0 (3.sf)</t>
  </si>
  <si>
    <t>cm below left costal margin</t>
  </si>
  <si>
    <t>5.23 (3.sf)</t>
  </si>
  <si>
    <t>g/L</t>
  </si>
  <si>
    <t>82.5</t>
  </si>
  <si>
    <t>×10⁹/L</t>
  </si>
  <si>
    <t>Median [IQR] presented by arm</t>
  </si>
  <si>
    <t>Range 2.9-3.1 across arms</t>
  </si>
  <si>
    <t>Range 110 - 117 across arms</t>
  </si>
  <si>
    <t>μmol/L</t>
  </si>
  <si>
    <t>Range 71-73 across arms</t>
  </si>
  <si>
    <t>Blood urea nitrogen</t>
  </si>
  <si>
    <t>mmol/L</t>
  </si>
  <si>
    <t>64.4</t>
  </si>
  <si>
    <t>AST</t>
  </si>
  <si>
    <t>IU/L</t>
  </si>
  <si>
    <t>Range 30-34 across arms</t>
  </si>
  <si>
    <t>Range 45-49 across arms</t>
  </si>
  <si>
    <t xml:space="preserve">[Day 15 or 31] AND Day 45 </t>
  </si>
  <si>
    <t>Follow-up</t>
  </si>
  <si>
    <t>All biochemistry/FBC (not transcribed here)</t>
  </si>
  <si>
    <t>The results from this study lend support to the development of short, cost-eff ective, safe, and effi cacious treatment regimens with two-drug combinations for visceral leishmaniasis.</t>
  </si>
  <si>
    <t>Criteria for exclusion were current pregnancy; current breast-feeding; seropositivity for human immunodeficiency virus; presence of a serious illness or concurrent infectious disease, such as tubercu_x0002_losis or bacterial pneumonia; granulocyte count &lt;1000 granulo_x0002_cytes/mm3; hemoglobin level &lt;5.0 g/dL; platelet count &lt;40 000 platelets/mm3; hepatic transaminase levels &gt;5 the normal level; total bilirubin level &gt;2.0 mg/dL; serum creatinine level above the upper normal limit; prothrombin time &gt;5 seconds above control; and/or inability of the subject or guardian to provide written informed consent</t>
  </si>
  <si>
    <t>Splenic aspirate (quantification with Bryceman method)</t>
  </si>
  <si>
    <t>Day 29</t>
  </si>
  <si>
    <t>Not stated</t>
  </si>
  <si>
    <t xml:space="preserve">Daily vital signs (temperature, pulse rate, blood pressure).
Weekly: weight, spleen size, haematological and biochemical parameters. Also, tests performed at initial cure -&gt; </t>
  </si>
  <si>
    <t>Clear explanation provided</t>
  </si>
  <si>
    <t xml:space="preserve">"All patients with initial cure were discharged from the clinic and invited for a follow-up visit 6 months after treatment to assess final cure. They were assessed by clinical examination and hematological and biochemical evaluation". </t>
  </si>
  <si>
    <t>Patients with treatment failure were given rescue treatment with amphotericin B (0.75 mg/kg administered in 15 daily infusions)</t>
  </si>
  <si>
    <t>"180 days after treatment"</t>
  </si>
  <si>
    <t>14 (9 with SAE including one patient that died, 1 died during treatment, 4 withdrew consent)</t>
  </si>
  <si>
    <t>Study Title</t>
  </si>
  <si>
    <t>First author</t>
  </si>
  <si>
    <t>Flow diagram presented?</t>
  </si>
  <si>
    <t>Patient flow</t>
  </si>
  <si>
    <t>Initial cure assessment</t>
  </si>
  <si>
    <t>Initial cure - are all patients accounted for?</t>
  </si>
  <si>
    <t>Initial cure - other comments</t>
  </si>
  <si>
    <t xml:space="preserve">Number of patients achieving initial cure </t>
  </si>
  <si>
    <t xml:space="preserve">Explanation for patients not assessed at initial cure </t>
  </si>
  <si>
    <t>Deaths - overall how many deaths occurred</t>
  </si>
  <si>
    <t>Deaths - number of deaths that occurred after recruitment and prior to time of initial cure assessment</t>
  </si>
  <si>
    <t>Deaths - number of deaths that occurred after time of initial cure assessment and prior to 6 month assessment?</t>
  </si>
  <si>
    <t>Deaths - what are the causes (if reported)</t>
  </si>
  <si>
    <t>explicitly stated: no deaths occurred</t>
  </si>
  <si>
    <t>Outcomes reported after 6 months</t>
  </si>
  <si>
    <t xml:space="preserve">A further 32 patients relapsed between 6-12 months. No further comment on lost-to-follow-up reported. </t>
  </si>
  <si>
    <t xml:space="preserve">Numbers assessed at 6 and 12 months not explicitly reported, although the percentage relapsed suggests that 1088 is used as the denominator. </t>
  </si>
  <si>
    <t>53 described as 'lost to follow-up' and 2 patients described as having a hypersensitivity reaction to LAMB (drug discontinued)</t>
  </si>
  <si>
    <t>Defaulters: 25, Death: 6, Relapse: 45</t>
  </si>
  <si>
    <t xml:space="preserve">Flow diagram is very useful </t>
  </si>
  <si>
    <t xml:space="preserve">extreme diarrhoea (n = 7), TB co-infection (n = 2), HIV/ADS co-infection (n = 1), acute pancreatitis (n = 1). Not disaggregated by time (e.g. before or after intial cure assessment) </t>
  </si>
  <si>
    <t>"Between June, 2008, and July, 2009, 634 patients were assigned amphotericin B…"</t>
  </si>
  <si>
    <t>Death - number of deaths that occurred at an unknown time</t>
  </si>
  <si>
    <t>Both in the amphotercin B deoxycholate arm -one occurred after first infusion of amphotericin B (allergy), the other occurred after treatment (car accident)</t>
  </si>
  <si>
    <t>Numbers are presented by arm as per ITT and PP estimands. THe flow diagram desrbes patients excluded due to not confirming to the per-protocol definition (including deaths, SAEs, lost to follow-up, etc), however the flow diagram / text does not clearly describe the number assessed at initial assessment time and 6 month point (only the number of patients assessed in the per-protocol / ITT groups for the definitive cure)</t>
  </si>
  <si>
    <t>Initial cure was assessed at day 29 or day 44</t>
  </si>
  <si>
    <t>39 patients with relapse (including 1 who died), 2 further deaths</t>
  </si>
  <si>
    <t>2 patients died during treatment: one following repeated vomiting and severe pancytopenia during third week of therapy, and another patient with sudden death on day 4 of treatment (presumed cardiac); after initial cure assessment and before 6 month assessment: 1 patient died following relapse, 1 patient died from suicide, 1 patent died from severe adverse events (after treatment)</t>
  </si>
  <si>
    <t>567</t>
  </si>
  <si>
    <t>history of 'failed' antileishmanial treatment</t>
  </si>
  <si>
    <t>History of failed treatment</t>
  </si>
  <si>
    <t>78</t>
  </si>
  <si>
    <t>13.7</t>
  </si>
  <si>
    <t>24.2</t>
  </si>
  <si>
    <t>16.0</t>
  </si>
  <si>
    <t>18</t>
  </si>
  <si>
    <t>70</t>
  </si>
  <si>
    <t>Age ≥12 years</t>
  </si>
  <si>
    <t>432</t>
  </si>
  <si>
    <t>75.2</t>
  </si>
  <si>
    <t>333</t>
  </si>
  <si>
    <t>58.7</t>
  </si>
  <si>
    <t>This table just lists the patient characteristics that are reported by study - it does not report the actual values / measures</t>
  </si>
  <si>
    <t xml:space="preserve">VL relapse history </t>
  </si>
  <si>
    <t>Yes (both VL relapse and history of VL treatment failure reported)</t>
  </si>
  <si>
    <t>Bloods</t>
  </si>
  <si>
    <t>Blood timing</t>
  </si>
  <si>
    <t>Miltefosine efficacy is decreasing, as shown in this study and other studies. Concern re: resistance, due to over-the-counter supplying of the medication and stopping treatment early due to side effects. Although this study not designed to directly detect resistance.</t>
  </si>
  <si>
    <t>Clearly reported study.</t>
  </si>
  <si>
    <t>"From February 2008 through March 2009, we en_x0002_rolled patients in this open-label study at the…"</t>
  </si>
  <si>
    <t>"Patients who were seropositive for the human immunode_x0002_ficiency virus (HIV) or who had a serious concurrent infection, such as tuberculosis or bacterial pneumonia, were excluded. Exclusion criteria also included a white-cell count of less than 750 per cubic millimeter, a hemoglobin level of less than 3.5 g per deciliter, and a platelet count under 40,000 per cubic millimeter; levels of hepatic aspartate aminotransferase or total bilirubin of more than five times the normal range; a serum creatinine level of more than 1.5 times the upper limit of the normal range; and a prothrombin time of more than 4 seconds above the control level."</t>
  </si>
  <si>
    <t>"standard biochemical and hematologic profiles, urinalysis, chest radiography, electrocardiography, rapid tests for anti-HIV antibody and malaria antigen, and blood smear for malaria"</t>
  </si>
  <si>
    <t>"Complete blood counts, serum chem_x0002_ical analysis, and urinalysis were repeated on day 2 in the liposomal-therapy group; on days 8, 15, and 22 or when clinically indicated in the conventional-therapy group; and on day 30 in 
both groups [...] Splenic aspiration for evaluation of apparent cure was repeated on day 30, 29 days after the 
infusion of liposomal amphotericin B and 1 day after the administration of the final dose of amphotericin B deoxycholate."</t>
  </si>
  <si>
    <t>After beginning treatment</t>
  </si>
  <si>
    <t>Not explicitly stated</t>
  </si>
  <si>
    <t>The intention-to-treat analysis in_x0002_cluded all subjects who received at least one dose of a study drug. The per-protocol analysis includ_x0002_ed all patients who completed treatment and all protocol requirements</t>
  </si>
  <si>
    <t>2 patients in the control arm were excluding during treatment, due to (i) severe diarrhea and (ii) bacterial pneumonia</t>
  </si>
  <si>
    <t>No deaths reported in the study</t>
  </si>
  <si>
    <t>15 patients relapsed between apparent cure (initial cure) and 6-month assessment (13 in LAMB arm and 2 in AMB arm). No patients were LTFU (confirmed)</t>
  </si>
  <si>
    <t>Described in the results section; patients who achieve apparent (initial) cure and subsequent relapse within the 6 month period</t>
  </si>
  <si>
    <t>After treatment</t>
  </si>
  <si>
    <t>Single dose LAMB is cost effective and has benefits going forward</t>
  </si>
  <si>
    <t>From results section: "15 mg/kg of liposomal amphotericin B per kilogram (3 mg per kilogram per day for 5 days)</t>
  </si>
  <si>
    <t>Exclusion criteria were ongoing pregnancy or breast-feeding, refusal to use contraceptive methods during the treatment period and 2 months thereafter (as advised by the clinical investigators), HIV-positive serology, or any condition or situation compromising with compliance to study procedures.</t>
  </si>
  <si>
    <t>End of treatment</t>
  </si>
  <si>
    <t>Efficacy was determined by (1) initial cure (eradication of parasites [0 parasites on splenic aspirate] at the end of treatment or 1+ paratsites that became 0 parasites on reaspiration of the spleen at 2 months after the end of treatment)…</t>
  </si>
  <si>
    <t>Follow-up visits 2 and 6 months after treatment</t>
  </si>
  <si>
    <t>(3) relapse (initial cure followed by reappearance of clinical signs and symptoms of VL with presence of parasite on splenic aspiration).</t>
  </si>
  <si>
    <t>2 cases of pregnancy were reported</t>
  </si>
  <si>
    <t>One patient died after an episode of acute diarrhea, and another had abdominal pain and swelling both on treatment day 9. One patient died in a car accident. […] "… there were 3 deaths assessed as unrelated to disease or drug"</t>
  </si>
  <si>
    <t>no reported</t>
  </si>
  <si>
    <t>Patients were assessed weekly during treatment, at the end of treatment, and at follow-up visits 2 months and 6 months after treatment. During each visit, thor_x0002_ough physical examination, adverse event recording, assessment of compliance to drug intake (during treatment), and labora_x0002_tory tests (blood count and hepatic enzyme, bilirubin, blood urea nitrogen, and creatinine levels at week 2 and 4 and at 2 and 6 months during follow-up) were performed. Parasitological cure was assessed by splenic aspiration at the end of treatment.</t>
  </si>
  <si>
    <t>Women with child-bearing potential were excluded from the study if they were breast-feeding, were pregnant, or were not using any contraception. Exclusion criterion included a granulocyte count of &lt;1000 cells/mm3, a hemoglobin level of &lt;4 g/dL, a platelet count &lt;40,000 platelets/mm3, liver function test results 13 times of upper limit of normal, prothrombin time 5 sec more than that for control subjects, serum creatinine level above the upper limit of normal, abnormal audiometric, and/or vestibular function, serological test results positive for HIV, and concomitant severe medical conditions. Patients who were allergic to aminoglycosides, those treated with a parenteral aminoglycoside within 28 days prior to randomization or with paromomycin at any time and those who had taken VL treatment within the past 14 days were excluded from the study.</t>
  </si>
  <si>
    <t>A baseline screening for pregnancy, malaria, and HIV infection was performed. A baseline complete blood count, a biochemical profile including a liver function test and determination of serum creatinine and electrolyte levels, a blood urea nitrogen test, a blood sugar test, and urinalysis were performed. Parasitological diagnosis was made by demonstration of leishmania amastigotes in splenic aspirate smears.</t>
  </si>
  <si>
    <t xml:space="preserve">If the aspirate score was equal to 1 at the end of treatment, patients were reassessed for parasitological cure by examination of an additional splenic aspirate obtained 28 days later. If the aspirate score was 2 or greater, then the subject was considered to have experienced treatment failure, and rescue treatment was given. </t>
  </si>
  <si>
    <t>Follow-up visit on day 180</t>
  </si>
  <si>
    <t>4 lost to follow-up, 4 stopped due to high AST and ALT. Further 15 patients failed after assessment at initial cure assessment</t>
  </si>
  <si>
    <t>The 4 LTFU patients had splenic aspirate of 1+ at the end of treatment, and did not return for repeat splenic aspiration 28 days later</t>
  </si>
  <si>
    <t>Further studies that combine a short course of paromomycin with treatment with another antileishmanial agent are warranted</t>
  </si>
  <si>
    <t>Clear reporting</t>
  </si>
  <si>
    <t>The study was conducted between June 2003 and November 2004 in Bihar, India</t>
  </si>
  <si>
    <t>Liposomal amphotericin B, 3 mg per kilogram daily for 5 days</t>
  </si>
  <si>
    <t>Exclusion criteria were treatment for visceral leishmaniasis during the 2 weeks before enrollment, a hearing loss of 75 dB in frequencies 1 through 8 kHz, a history of vestibular or auditory dysfunction, prior treatment with amphotericin without response, allergy or hypersensitivity to aminoglycosides, significant proteinuria (≥2+ on strip testing), significant coexisting diseases possibly affecting the response to the study treatment response, and pregnancy or lactation</t>
  </si>
  <si>
    <t>All patients had spleen / bone marrow aspirates</t>
  </si>
  <si>
    <t>All patients were hospitalized for the duration of the study treatment; vital signs were assessed daily and adverse events were reported according to the Common Toxicity Criteria (CTC) of the National Cancer In_x0002_stitute. 15 Patients were monitored for hematologic variables, serum chemistry, body weight, and the size of the spleen and liver every week during treatment, at the end of treatment, and at 6 months after the treatment ended. Audiometric testing was performed every week during treatment in all paients and repeated every 2 weeks and then monthly for up to 6 months after treatment ended in patients with ototoxicity</t>
  </si>
  <si>
    <t>Repeat smear 4 weeks after first smear if parasite density of 1 at end of treatment</t>
  </si>
  <si>
    <t>"Patients were monitored for hematologic variables, serum chemistry, body weight, and the size of the spleen and liver every week during treat_x0002_ment, at the end of treatment, and at 6 months af_x0002_ter the treatment ended", "Audiometric testing was performed every week during treatment in all patients and repeated every 2 weeks and then monthly for up to 6 months after treatment ended in patients with ototoxicity"</t>
  </si>
  <si>
    <t>Relapse was defined as suspected visceral leishmaniasis after an initial cure, followed by a positive result on analysis of a specimen obtained by splenic or bone marrow aspiration</t>
  </si>
  <si>
    <t>6 months after end of treatment</t>
  </si>
  <si>
    <t xml:space="preserve">22 relapses described in paromomycin group and 1 LTFU in the amphoterocin B deoxycholate group </t>
  </si>
  <si>
    <t xml:space="preserve">One patient died before starting paromomycin (but after recruitment. Other causes of death were: </t>
  </si>
  <si>
    <t>Of the four deaths, one occurred in a patient be_x0002_fore the administration of paromomycin; a second death, deemed by the investigator as possibly related to paromomycin, occurred in a patient with suspected alcoholism who received only two dos_x0002_es of the drug, after which aspartate aminotrans_x0002_ferase levels increased to more than six times the upper limit of the normal range; a third death, deemed by the investigator to be unrelated to paromomycin, resulted from septicemia secondary to a thigh abscess after the patient had received 11 doses of the drug (no obvious connection between the injection site and the abscess was found); and a fourth death resulted from gastroenteritis and diarrhea and was considered to be probably related to amphotericin.</t>
  </si>
  <si>
    <t>In conclusion, paromomycin was shown to be noninferior to amphotericin, and, with the exception of mild injection-site pain and a transient increase in values on liver-function testing, it has a reasonable safety profile</t>
  </si>
  <si>
    <t>These results suggest that treatment with single-dose L-AmB followed by 7–14 days of miltefosine is active against Indian kala-azar. This short-course, sequential regimen warrants additional testing in India and in those regions of endemicity where visceral leishmaniasis may be more difficult to treat.</t>
  </si>
  <si>
    <t xml:space="preserve">Exclusion criteria also included granulocyte count &lt; 1000 cells/mL, hemoglobin level &lt;3.5 g/dL or platelet count &lt;40,000 platelets/mL, hepatic transaminase levels or total bilirubin &gt;3 times the upper limit of normal, serum creatinine level &gt;2.0 mg/dL, and prothrombin time &gt;5 sec above control. If they were randomized to receive miltefosine, women of child-bearing age with negative pregnancy test results were counseled about the potential teratogenic effects of miltefosine and were offered contraception in the form of a depot preparation of progesterone. </t>
  </si>
  <si>
    <t>Subjects completed baseline testing (including standard biochemistry and hematology profiles, urinalysis, examination of chest radiographs, electrocardiogram, anti-HIV antibody testing by ELISA, malaria smear, and pregnancy testing</t>
  </si>
  <si>
    <t>Patients were kept in our inpatient unit throughout treatment and were examined daily. Complete blood counts and serum creatinine and hepatic transaminase levels were obtained on day 8 and day 16 or when warranted clinically; limited resources precluded additional laboratory testing,... Splenic aspirate for apparent cure evaluation was repeated on day 16.</t>
  </si>
  <si>
    <t>Day 16</t>
  </si>
  <si>
    <t>Time from treatment start</t>
  </si>
  <si>
    <t>Described clearly</t>
  </si>
  <si>
    <t>Only definiitve cure assessment</t>
  </si>
  <si>
    <t>100% was splenic aspirate negative on day 16</t>
  </si>
  <si>
    <t>In results section: "The 9 patients who experienced relapse were retreated successfully using full-dose L-AmB therapy (15 mg/kg total dose, administered at a dosage of 3 mg/kg/day for 5 days)</t>
  </si>
  <si>
    <t>One patient died due to flood 5 months after treatment</t>
  </si>
  <si>
    <t>Definitive cure is actually 9 months, not 6 months</t>
  </si>
  <si>
    <t xml:space="preserve">Clinicoepidemiological information was recorded on a case record form. Investigations included complete blood count, chemistry, blood culture, urine analysis and chest radiography. HIV serology testing using two different rapid tests, namely TRI-DOT (J. Mitra &amp; Co. Pvt. Ltd., New Delhi, India) and Determine (Abbot Japan Co., Tokyo, Japan), was performed only in those patients who failed to respond to sodium stibogluconate (SSG) therapy. </t>
  </si>
  <si>
    <t>Clinical assessment to define outcome was conducted at the end of therapy and at 3, 6 and 12 months after completion of therapy. Parasitological assessment was repeated at the end of therapy and at 6 months in all patients and at any time during follow-up if relapse was clinically suspected</t>
  </si>
  <si>
    <t>Treatment failure patients were treated with second-line therapy with amphotericin B 1 mg/kg/day for 14 days.</t>
  </si>
  <si>
    <t>A relapse case was defined as a kala-azar case with initial cure but with reappearance of clinical symptoms and signs with positive parasitology during the 12 months follow- up.</t>
  </si>
  <si>
    <t>After completion of treatment</t>
  </si>
  <si>
    <t>After treatment completion</t>
  </si>
  <si>
    <t>At 3, 6 and 12 months after completion of therapy</t>
  </si>
  <si>
    <t>To be assessed for initial cure, the patient had to have completed at least 25 days of SSG treatment</t>
  </si>
  <si>
    <t>Definitive cure</t>
  </si>
  <si>
    <t>Number of patients achieving definitive cure (i.e. of those achieving initial cure, also known as definitive cure)</t>
  </si>
  <si>
    <t>Number of patients achieving initial cure but not assessed at definitive cure assessment</t>
  </si>
  <si>
    <t>Explanation for patients not assessed at definitive cure assessment (+ comments)</t>
  </si>
  <si>
    <t>Number of patients who relapsed between initial cure and definitive cure assessment</t>
  </si>
  <si>
    <t>All patients accounted for between time of initial cure assessment and definitive cure assessment?</t>
  </si>
  <si>
    <t>All died during therapy, but causes not described</t>
  </si>
  <si>
    <t>Not reported (except for no previous exposure to SSG and no other SSG contraindications)</t>
  </si>
  <si>
    <t>Case definitions are provided</t>
  </si>
  <si>
    <t>"Patients were enrolled from 4 centers in Bihar, India, between August 2009 and January 2011"</t>
  </si>
  <si>
    <t>Patients were hospitalized for 7 days starting from day of first dose of the study drug for safety and efficacy evaluation.</t>
  </si>
  <si>
    <t>Post infusion</t>
  </si>
  <si>
    <t>LAmB 5 mg/kg i.v. on Days 1, 3, 5 and 7 or alternative antileishmanial drug in appropriate doses</t>
  </si>
  <si>
    <t>Visit at 45 days if 30 day visit did not demonstrate initial cure; and then final f/u at 180 days</t>
  </si>
  <si>
    <t>Initial cure and clinical improvement are considered separately</t>
  </si>
  <si>
    <t>not clear</t>
  </si>
  <si>
    <t xml:space="preserve">deaths both in ABLE group; one death at day 2 due to severe diarrhoea ("probably related to study drug", and one death on day 157 and "not related to study drug". </t>
  </si>
  <si>
    <t>n/a</t>
  </si>
  <si>
    <t>In this study, ABLE 15 mg/kg single bolus was found to be efficacious, safe and well tolerated in patients with VL</t>
  </si>
  <si>
    <t>both</t>
  </si>
  <si>
    <r>
      <t xml:space="preserve">a. Pregnancy or breast-feeding or refusal to use contraceptive techniques for the treatment period and two months after treatment with miltefosine. Both for male as well as female contraception, prevailing national policies will be adopted. 
b. HIV positive serology 
c. Any condition or situation that compromises compliance with study procedures including follow-up visits.
d. Pulmonary tuberculosis: confirmed by chest X-ray and/or sputum AFB
</t>
    </r>
    <r>
      <rPr>
        <u/>
        <sz val="12"/>
        <color theme="1"/>
        <rFont val="Aptos Narrow"/>
        <family val="2"/>
        <scheme val="minor"/>
      </rPr>
      <t xml:space="preserve">
V.C Withdrawl criteria:(during treatment period i.e. to stop the treatment)</t>
    </r>
    <r>
      <rPr>
        <sz val="12"/>
        <color theme="1"/>
        <rFont val="Aptos Narrow"/>
        <family val="2"/>
        <scheme val="minor"/>
      </rPr>
      <t xml:space="preserve"> 
a. Pregnancy 
b.  Withdrawal of consent/treatment 
c. Withdrawal of contraceptive measures 
d.  Serious adverse effects (AE) 
e. AE of CTC grade III (except increase in liver enzyme) and grade IV.</t>
    </r>
  </si>
  <si>
    <t>After completion of treatment'</t>
  </si>
  <si>
    <t>1. Obtain informed consent and agreement regarding avoidance of pregnancy during and two months after treatment from the patient, male and female, and/or guardian as appropriate.    
2.  Complete medical history.    
3.  Complete physical examination including height, weight, vital signs, lymph node, skin, spleen and liver size.  
4.  Complete blood count with WBC, hemoglobin, platelet counts 
5.  Serum chemistries – Liver function test, BUN, creatinine and electrolytes  
6. Serum for HIV testing. 
7. Pregnancy test in women with childbearing age group. 
8. Blood smear for malarial parasite 
9. Urine routine and microscopy 
10. Bone marrow aspirate/ spleen aspirate 
11. Chest X-ray 
12. Sputum AFB</t>
  </si>
  <si>
    <t>After completion of treatment, clinical cure assesment will be performed. Those who have initial cure will be followed –up  8 weeks and 6 months after the end of treatment. Patients who have resolution of symptoms but scanty parasites in tissue aspirate at the end of treatment will be followed and parasitology repeated after 8 weeks.
Non responders, relapse cases and those clinical responders with persistent parasitaemia ( after 8 weeks) will be treated with rescue drug (second line therapy) in the form of Amphotericin B, 1 mg/kg given daily for 15 days</t>
  </si>
  <si>
    <t xml:space="preserve">Yes
Bone marrow aspirates will be designated as either positive (amastigotes present) or negative if no amastigotes are seen in 1000 oil immersion fields. It will be done for confirming the diagnosis and at the end of treatment. If the parasitological score is =1 at the end of treatment then the bone marrow aspiration will be repeated after 8 weeks. Parasitology will be done at end of 6 months or earlier if there is clinical evidence of relapse. </t>
  </si>
  <si>
    <t>Clinical assessment will be done weekly during treatment and at the end of treatment. Vital signs (pulse, blood pressure, temperature) and physical examination with body weight and spleen and liver size will be assessed weekly. Assessment for adverse events will be performed at the weekly visits and all will be documented. Clinical improvement will be defined as any one of the following - temperature &lt;37.5 C, decrease in spleen size, increase in body weight and decrease in symptoms.
During in- and outpatient treatment, routine studies done on day 7,14, 21 and 28th of treatment (or more often if clinically warranted) will include WBC, hemoglobin; bilirubin, SGPT,SGOT,BUN creatinine, electrolytes, ECG and urine for routine microscopy. These tests will also be repeated at 8 weeks after the end of treatment and after the end of 6 months. 
See protocol for a list of criteria which indicate hospital admission</t>
  </si>
  <si>
    <t xml:space="preserve">relapse is defined as initial cure followed  by clinical relapse, along with parasitologic failure during the 6 months follow up. </t>
  </si>
  <si>
    <t>Clearly defined</t>
  </si>
  <si>
    <t>A prospective study was conducted at a tertiary-level hospital located in south-eastern Nepal from July 1999 to January 2001</t>
  </si>
  <si>
    <t>"There was no other exclusion criteria"</t>
  </si>
  <si>
    <t>..This included clinical evaluation, com_x0002_plete blood count, chemistry, blood culture, urine analysis, and chest radiography. HIV testing was done after pre-test counselling using Vironostica ® and Recombigen ® enzyme-linked immunosorbent assay tests. Diagnosis of VL was made by Giemsa-stained bone marrow aspirate or spleen aspirate (if bone marrow aspirate was negative). Stained smears were designated as 'positive' if L. donovani bodies were seen or 'nega_x0002_tive' if none were seen in 100 oil immersion fields. Two doctors read the slides independently. Parasite density score was determined microscopically in the Giemsa_x0002_stained smears by the use of a logarithmic scale ranging from 0 (no parasites per 100 oil immersion fields) to + 6 (&gt; 100 parasites per field). For quality control, 10% of the slides were cross-checked at the Protozool_x0002_ogy Unit (Prof. Dominique Le Ray) of the Institute of Tropical Medicine in Antwerp, Belgium.</t>
  </si>
  <si>
    <t>Clinical assessment and parasitological examination for L. donovani bodies was repeated at the end of 30 d of SSG therapy (1-month follow-up).</t>
  </si>
  <si>
    <t>relapse case, a VL case with initial cure but with reappearance of clinical signs and positive parasitology during the 6 months follow-up; and SSG failure, non-responder or relapse case.</t>
  </si>
  <si>
    <t>After starting treatment</t>
  </si>
  <si>
    <t>All patients were followed-up at 3 and 6 months for further clinical evaluation</t>
  </si>
  <si>
    <t>2 from cardiotoxicity (electrocardiographic_x0002_proven arrhythmia), 1 from septic shock and 1 patient with underlying psychiatric illness who committed suicide during his hospital stay.</t>
  </si>
  <si>
    <t>103 had negative parasitology at D30, remaining 11 patients were tested on D40 (after extension of SSG) and 10 remained positive</t>
  </si>
  <si>
    <t>Authors looked at significant associations with treatment failure (11/110): significantly associated with place of stay, presence of hepatomegaly, and a lower platelet count</t>
  </si>
  <si>
    <t>In this study, we found that the current efficacy of SSG in the treatment of VL remains satisfactory in the eastern part of the VL-endemic area of Nepal where 90% of patients who completed their treatment and 6- month follow-up showed a definite cure. Cure rate of 76% in Saptari district (closer to the northern districts of Bihar)</t>
  </si>
  <si>
    <t>Liposomal amphotericin (Cipla)</t>
  </si>
  <si>
    <t>Cipla</t>
  </si>
  <si>
    <t>1) History of hypersensitivity reactions to any components of conventional or liposomal Amphotericin B formulations.
2) Patients who require dose adjustment during the study.
3) Patients requiring any other concomitant drugs which have PK interaction with IMP.
4) Historical or current evidence of a clinically significant disease including, but not limited to: cardiovascular (e.g.,congestive heart failure, known aortic aneurysm,clinically significant cardiac arrhythmia or coronary heart disease), hepatic, renal,hematological, neuropsychological, endocrine (e.g.,uncontrolled diabetes mellitus, uncontrolled thyroid disorder, Addison’s disease, Cushing’s syndrome),gastrointestinal (e.g., poorly-controlled peptic ulcer, gastroesophageal reflux disease [GERD]), or pulmonary (e.g., chronic bronchitis, emphysema, bronchiectasis, cystic fibrosis, bronchopulmonary dysplasia, chronic obstructive pulmonary disease [COPD]) or obstructive sleep apnoea.
5) Use of any investigational drug (approved or unapproved) within 30 days or 5 half-lives (whichever is longer) preceding the screening or planned participation in another investigational drug study at any time during this study.
6) Donation / loss of blood (without replenishment) (1 unit or 350 mL) within 90
days prior to receiving the first dose of study medicine.
7) Patients with any abnormal/clinically significant lab value/s which may impair
the safety during the study.
8) Female patient who is pregnant or lactating. Pregnancy defined as state of a female after conception and until the termination of gestation (confirmed by positive serum/urine pregnancy test), lactating, or plans to become pregnant, or donate gametes (ova or sperm) for in vitro fertilization during the study period or for 30 days following the patient’s last study related visit.
9) Women of childbearing potential unwilling to employ effective contraceptive methods or if they are of non-childbearing potential as defined below.
? Methods of contraception include:
i. Total abstinence (periodic abstinence and withdrawal are not acceptable contraceptive methods)
ii. Surgical sterilization (tubal ligation, bilateral oophorectomy, or hysterectomy) at least 6 weeks before screening
iii. Vasectomized male (done at least 6 months prior to screening) should be the sole partner for the female patient
iv. Congenital sterility
v. Use of oral, injected, or implanted hormonal methods of contraception or
other forms of hormonal contraception that have comparable efficacy (failure rate 1 year natural (spontaneous) amenorrhea</t>
  </si>
  <si>
    <t>[…] was conducted in a hospital setting […] from February 2014 to November 2016'</t>
  </si>
  <si>
    <t>Patients with confirmed VL underwent biochemical and hematological investigations for baseline evaluation</t>
  </si>
  <si>
    <t>Exclusion criteria were hemoglobin (Hb) &lt; 5 g/100 mL; white blood cells count &lt; 1,000/mm3; thrombocyte count &lt; 50,000/mm3; alanine transaminase, aspartate transaminase, and alkaline phosphatase &gt; 2.5 times upper limit of normal range; bilirubin ≥2 times upper limit of normal, serum creatinine or blood urea nitrogen ≥1.5 times upper limit of normal. Patients seropositive for HIV, hepatitis B and C, hypersensitivity to amphotericin B or inactive ingredents of the amphotericin B formulation were also excluded</t>
  </si>
  <si>
    <t>Patients were closely monitored (blood pressure, pulse rate, temperature, etc.) during infusion for adverse events (AEs). Patients were hospitalized for 7 days or longer, if severely ill or as per the investigator’s discretion. On discharge, all the patients were counseled properly to report any AEs they experienced. They were also advised to visit after 1 and 6 months for follow-up. [...] They were subjected for hematological and biochemical tests, which included complete blood count, liver function test, serum urea and creatinine, serum electrolyte, etc. These tests were done at baseline, on the day of discharge and at 1 and 6 months follow-up</t>
  </si>
  <si>
    <t xml:space="preserve">30 days </t>
  </si>
  <si>
    <t>amphotericin B in the dose of 1 mg/kg body weight alternate days for 15 infusions</t>
  </si>
  <si>
    <t>"From February 2008 through March 2009, we enrolled patients in this open-label study at the…"</t>
  </si>
  <si>
    <t>Initial cure rate of 100% all with zero parasites in the splenic aspirate</t>
  </si>
  <si>
    <t>3 patients lost to follow-up and 2 patients relapsed (one at 4 months and one at 6 months)</t>
  </si>
  <si>
    <t>In conclusion, single dose liposomal amphotericin B at 10 mg/kg was found to be safe and effective in children. Therefore, continued use of this drug in the treatment of VL in all age groups is recommended and is of great value in the Kala-azar Elimination Program.</t>
  </si>
  <si>
    <t>2 relapses, no deaths, all patients accounted for</t>
  </si>
  <si>
    <t>lack of concomitant diseases such as malaria, HIV, and tuberculosis; lack of pregnancy or lactation; no previous  treatment with antimony or paromomycin unless the treatment terminated two months prior to the study and the patient was worsening</t>
  </si>
  <si>
    <t>Entrance laboratory tests'</t>
  </si>
  <si>
    <t>not defined</t>
  </si>
  <si>
    <t>Not defined</t>
  </si>
  <si>
    <t>Not defined (although all described relapses confirmed with splenic aspirates)</t>
  </si>
  <si>
    <t>protocol not reviewed</t>
  </si>
  <si>
    <t>not stated</t>
  </si>
  <si>
    <t>2 treatment discontinuations due to moderate-severe vomiting, one patient discontinued due to non-drug related reasons, one patient left the trial against clinical advice on the last day with mild vomiting and derranged bilirubin and creatinine, and later found dead at home on day 20</t>
  </si>
  <si>
    <t>one patient left the trial against clinical advice on the last day with mild vomiting and derranged bilirubin and creatinine, and later found dead at home on day 20</t>
  </si>
  <si>
    <t>This combination is attractive for reasons of efficacy, tolerance, and feasibility of administration, although the gastrointestinal side effects of miltefosine require medical vigilance.</t>
  </si>
  <si>
    <t xml:space="preserve">Unevaluable' is used for some patients </t>
  </si>
  <si>
    <t>"The present study was conducted in the year 2002 and follow-ups were completed in the same year."</t>
  </si>
  <si>
    <t>The confirmed VL cases with partial dosages of SSG and with associated diseases like tuberculosis (TB), HIV/AIDS, and malaria, pregnant women, lactating mother, and diabet- ics were not included in the study. The individuals who had past history of Kala-azar in last five years and having Hb &lt; 6 g/dl, platelet count &lt; 50,000/mm3 with significant abnormalities in liver and renal function tests were the exclusion criteria. It is documented that if Hb &lt; 6 mg/dl and platelet count &lt; 50,000/mm3 there is a possibility of reduced efficacy of the drug as well as its increased toxicity.</t>
  </si>
  <si>
    <t xml:space="preserve">"Complete physical examination and clinical findings were recorded in a pre-designed proforma. Laboratory investigations included a complete hemogram, blood biochemistry including electrolyte estimation and liver and kidney function tests. A chest radiogram and electrocardiogram were done. Splenic/BM aspiration was done when PT (prothrombin time) value was within normal limit and examined under microscope for Leishman–Donovan bodies. "
Patients with Hb &lt; 6 were transfused to try and obtain Hb &gt;= 6. </t>
  </si>
  <si>
    <t>All laboratory investigations except blood sugar mentioned above were repeated on 14th day after the initiation of treatment and at the end of treatment, while blood glucose was monitored on 0, 7, 14 days and at the end of treatment and during follow-up to observe the main complication of pentamidine, ie, diabetes mellitus.
All vital signs (such as blood pressure, pulse, respiration rate, body temperature, etc.) were monitored daily. Specific clinical examinations (like measurement of spleen size and liver size) were done on every 7th day till the end of treatment. Parasitological examination was done before and after completion of therapy as well as at the end of six months follow-up in relapse cases.</t>
  </si>
  <si>
    <t xml:space="preserve">"All the patients were followed up on the 1st, 2nd, and 6th month after end of treatment" [clinical examinations and routine laboratory investigations] </t>
  </si>
  <si>
    <t>Relapse was defined as reappearance of clinical signs, symptoms such as intermittent fever, enlargement of liver, enlargement of spleen and Leishmania donovani parasite in SPL/BM aspiration within a period of six months during follow-up.</t>
  </si>
  <si>
    <t xml:space="preserve">no protocol </t>
  </si>
  <si>
    <t>reason for not achieving initial cure not stated</t>
  </si>
  <si>
    <t xml:space="preserve">Excluded patients not included in results: "Those patients who were excluded from the study were referred to the Medical College for evaluation and further treatment. Rescue treatment was given in case of drug-induced toxicity and follow-up was carried out for six months after end of treatment."
All patients followed up for 6 months </t>
  </si>
  <si>
    <t>Amphotericin B lipid emulsion</t>
  </si>
  <si>
    <t>Bharat Serum and Vaccines Limited</t>
  </si>
  <si>
    <t>Patients were excluded if they were breast feeding or pregnant, if they were HIV positive or if they had previously failed treatment with amphotericin B for VL. Additional exclusion criteria were a granulocyte count of &lt;1000 mm)3; a haemoglobin level &lt; 6 gm ⁄ dl or a platelet count &lt; 50 000 mm)3; hepatic transaminases &gt;3 times the normal upper limit and ⁄ or total bilirubin &gt;2 times of normal upper limit; serum creatinine &gt;= 1.5 times of normal upper limit; or a prothrombin time &gt; 5 s above the control range. Patients with concomitant life-threatening disease or serious concurrent infection such as tuberculosis or bacte- rial pneumonia and those allergic to amphotericin B or any other ingredients of the emulsion formulation were also excluded from the study.</t>
  </si>
  <si>
    <t>The baseline evaluation comprised screening of haematological parameters, urinalysis, biochemical profile including liver function test, blood urea, serum creatinine and electrolytes, test for HIV antibody, chest radiography and electrocardiography. Splenic aspiration was done and the pathologist grading the splenic aspirate was blinded for the treatment allocation.</t>
  </si>
  <si>
    <t>After 3 days of treatment all patients remained hospitalised to a total of 15 days for safety and efficacy evaluation. Patients were examined daily for the vital parameters and regression of spleen; CBC, haemoglobin, liver function test, blood urea nitro- gen, serum creatinine and electrolytes and ECG were obtained on day 1 and day 2 of treatment and on day 4, 7 and 14 post-treatment</t>
  </si>
  <si>
    <t>Day 17</t>
  </si>
  <si>
    <t>Patients were followed up for 6 months after the end of treatment, and absence of signs or symptoms of relapse indicated final cure.</t>
  </si>
  <si>
    <t>Amphotericin B 15mg/kg (1mg/kg alternate days)</t>
  </si>
  <si>
    <t>14 days after the completion of treatment</t>
  </si>
  <si>
    <t>All patients achieved clinical and parasitological initial cure</t>
  </si>
  <si>
    <t>Not clear if patients were excluded!</t>
  </si>
  <si>
    <t>4 patients relapsed (3 in group A; 1 in group B; 0 in group C)</t>
  </si>
  <si>
    <t>In this preliminary study, AB formulated in a lipid emulsion vehicle was safe and effective for the treatment of VL in India</t>
  </si>
  <si>
    <t>Bias concern</t>
  </si>
  <si>
    <t xml:space="preserve">1 A history of intercurrent or concurrent diseases (e.g. Chronic alcohol consumption or drug addiction, renal,
hepatic, cardiovascular or CNS disease; diabetes mellitus, other infectious diseases or major psychiatric
diseases) that may introduce variables that affect the outcome of the study
2 Any condition which according to the investigator might prevent the patient from completing the study
therapy and subsequent follow up
3 A history of allergy or hypersensitivity to Amphotericin B
4 Previous treatment for VL within two months of enrolment into the study
5 Prior treatment failure with Amphotericin B
6 Post Kala-azar Dermal Leishmaniasis (PKDL)
7 Concomitant treatment with other anti-leishmanial drugs
8 Pregnant women or lactating mother </t>
  </si>
  <si>
    <t>See flow chart in protocol</t>
  </si>
  <si>
    <t>For a full description of measurements see protocol</t>
  </si>
  <si>
    <t>In patients who show signs and symptoms attributable to relapse during follow up, a parasitological examination will be performed to verify whether VL (positive parasitology) or another disease (negative VL parasitology, to be followed by appropriate tests) is the cause of the clinical abnormalities unless another disease is definitively shown to be the cause of the signs and symptoms. Therefore in case of negative parasitology a diligent search for other etiologies of the clinical abnormalities should be made. Rescue treatment for VL should be provide unless another disease is definitively shown to be the cause of the signs and symptoms or when based in the medical criteria it is need it.</t>
  </si>
  <si>
    <t>After EOT</t>
  </si>
  <si>
    <t>"Patients were excluded in the study if they had hemoglobin of &lt; 5 g/dL, serum creatinine or blood urea nitrogen (BUN) &gt; 1.5 times the upper limit of normal, a platelet count &lt; 40,000/m3, serum bilirubin &gt; 2 mg/dL, prothrombin time of more than 5 seconds above the control levels, history of VL treatment in the last 45 days, hepatitis B or C, human immunodeficiency virus (HIV), active tuberculosis or another serious illness or associated disease known to alter liver/kidney functions, or known hypersensitivity/allergy to the study drug or their constituents or were women who were pregnant or lactating."</t>
  </si>
  <si>
    <t>Lifecare Innovations</t>
  </si>
  <si>
    <t>Liposomal amphotericin (Lifecare)</t>
  </si>
  <si>
    <t>Along with vital parameters and spleen size, all patients completed the following tests at baseline, on the day of discharge, and on days 8 and 30: complete blood count (CBC), liver function test, renal function test, serum electrolyte test, and urine analysis. An electrocardiogram (EKG) was obtained on day 0, at the time of discharge, and on day 8. Grading of toxicity was done according to the Com- mon Toxicity Criteria for Adverse Events.16 Patients were withdrawn from the study if they had intolerable toxicity, showed a lack of efficacy, died, or withdrew consent.</t>
  </si>
  <si>
    <t>See initial evaluation</t>
  </si>
  <si>
    <t>Within 6 months of follow-up'</t>
  </si>
  <si>
    <t>Patients who relapsed were given a rescue therapy of amphotericin B (0.75 mg/kg administered for 15 daily infusions).</t>
  </si>
  <si>
    <t>"An initial cure of 100% was achieved in both cohorts; how- ever, during follow-up, one patient relapsed at month 6 in cohort I and month 4 in cohort II, resulting in a definitive cure of 93.3% in both (Figure 1)"</t>
  </si>
  <si>
    <t>two relapses, one in cohort I and one in cohort II</t>
  </si>
  <si>
    <t>"This phase 2 study shows that a single dose of L-AmBL at 10 mg/kg has excellent efficacy for the treatment of VL. The efficacy of the higher dose (15 mg/kg) was found to be similar to that with the lower dose".. "However, the findings of this preliminary study suggest that a single dose of L-AmBL could be used as an alternative to L-AmB in the treatment of VL"</t>
  </si>
  <si>
    <t>The patients enrolled were tested and found negative for HIV, hepatitis B virus and hepatitis C virus.</t>
  </si>
  <si>
    <t>Placentrex</t>
  </si>
  <si>
    <t>Albert David Ltd (Kolkata, India)</t>
  </si>
  <si>
    <t>The potential clinical use of a human placental extract in the treatment of VL was explored in a preliminary study, con- ducted between December 2003 and January 2005</t>
  </si>
  <si>
    <t>Splenic aspirates were collected at the end of therapy, 1 month later, and, if the patient then still showed signs and symptoms indicative of VL, 6 months after the end of treatment. Each splenic aspirate collected on presentation (i.e. pre-treatment) and post-treatment was examined as a stained smear, at 61000, and scored on a log scale (Chulay and Bryceson, 1983) from 0 (no parasites/1000 fields) to 6z (.100 parasites/ field).</t>
  </si>
  <si>
    <t>1 month after treatment completion</t>
  </si>
  <si>
    <t>at 6 month follow-up'</t>
  </si>
  <si>
    <t>The patients who failed Placentrex treatment (i.e. those found to have splenic amastigotes at some time post-treatment, up to the 6-month follow-up) were treated with infusions of amphotericin B deoxycholate (at 1.00 mg/kg) in 5% dextrose solution every other day for 15 infusions.</t>
  </si>
  <si>
    <t>Blood samples were collected from each patient on enrollment and 1 month after the last dose of Placentex. These were used to determine the pre- and post-treatment blood concentrations of haemoglobin and serum concentrations of creatinine and alanine and aspartate aminotransferases, and for leucocyte counts</t>
  </si>
  <si>
    <t>Patient 3, a 10- year-old girl, appeared to have been cured by the Placentrex. Her spleen size decreased markedly, her leucocyte count doubled and her spleen appeared to be cleared of amastigotes and she showed no signs of a relapse within a year of treatment. The post- treatment splenic aspirates of the other four patients, who were considered treatment failures, contained amastigotes. The treatment of the failures with infusions of amphotericin B deoxycholate appeared to be successful.</t>
  </si>
  <si>
    <t>Human placenta extract</t>
  </si>
  <si>
    <t>Not publicly available</t>
  </si>
  <si>
    <t>Amphotericin B liposomal emulsion (Bharat Serum and Vaccines Limited)</t>
  </si>
  <si>
    <t>Liposomal amphotericin (Gilead)</t>
  </si>
  <si>
    <t xml:space="preserve">198 patients with SSG were described in the study. More patients were actually recruited. </t>
  </si>
  <si>
    <t>Year first recruited</t>
  </si>
  <si>
    <t>Month first recruited</t>
  </si>
  <si>
    <t>June</t>
  </si>
  <si>
    <t>April</t>
  </si>
  <si>
    <t>September</t>
  </si>
  <si>
    <t>February</t>
  </si>
  <si>
    <t>August</t>
  </si>
  <si>
    <t>January</t>
  </si>
  <si>
    <t>July</t>
  </si>
  <si>
    <t>October</t>
  </si>
  <si>
    <t>December</t>
  </si>
  <si>
    <t>2013</t>
  </si>
  <si>
    <t>2012</t>
  </si>
  <si>
    <t>2008</t>
  </si>
  <si>
    <t>2009</t>
  </si>
  <si>
    <t>2003</t>
  </si>
  <si>
    <t>2006</t>
  </si>
  <si>
    <t>2001</t>
  </si>
  <si>
    <t>1999</t>
  </si>
  <si>
    <t>2014</t>
  </si>
  <si>
    <t>2007</t>
  </si>
  <si>
    <t>2002</t>
  </si>
  <si>
    <t>March</t>
  </si>
  <si>
    <t>November</t>
  </si>
  <si>
    <t>2005</t>
  </si>
  <si>
    <t>2015</t>
  </si>
  <si>
    <t>2004</t>
  </si>
  <si>
    <t>2010</t>
  </si>
  <si>
    <t>2017</t>
  </si>
  <si>
    <t>2016</t>
  </si>
  <si>
    <t>Month last follow up</t>
  </si>
  <si>
    <t>Year last follow up</t>
  </si>
  <si>
    <t>Month last patient recruited</t>
  </si>
  <si>
    <t>Year last patient recruited</t>
  </si>
  <si>
    <t>2011</t>
  </si>
  <si>
    <t>2000</t>
  </si>
  <si>
    <t>From publication flow chart - let's assume that those not evaluated in the per-protocol analysis did not achieve initial cure, EXCEPT for (i) the one patient that died after achieving initial cure, (ii) the 3 x lost-to-follow-up patients. So, these include: 1 death, 9 withdrawals due to adverse effects events (including one allergic reaction), 2 protocol violations (one malnourihed, one with PT time 5s longer than permissable). 1 + 9 + 2 = 12.</t>
  </si>
  <si>
    <t xml:space="preserve">flow chart does not clearly distinguish between initial cure assessment and 6 month assessments; need to assume LTFU occur after initial cure. </t>
  </si>
  <si>
    <t>Defaulters defined as 'did not turn up on the scheduled visit' (lost-to-follow-up)</t>
  </si>
  <si>
    <t>8 relapses, 1 death, and 3 LTFU (which we are assuming took place after initial cure, although do not know 100%)</t>
  </si>
  <si>
    <t>Uncertainties in patient flow numbers - comments here</t>
  </si>
  <si>
    <t>Number of patients assessed at definitive cure not described</t>
  </si>
  <si>
    <t>No concerns</t>
  </si>
  <si>
    <t>Unable to establish when patients were lost to follow up (here it is assumed they were lost after initial cure assessment)</t>
  </si>
  <si>
    <t>Uncertain</t>
  </si>
  <si>
    <t xml:space="preserve">1084 patients completed treatment (end of week 4) (3 patients withdrew consent, 48 'dropped out' (including 3 deaths). So; 1135-55 = 1084. Subsequently, 1084-1055 = 29 patients of these 1084 did not achieve initial cure (22 with clinical cure but no aspirate confirmation, 1 uncertain, 6 failures)
</t>
  </si>
  <si>
    <t>971 patients were assessed at definitive cure; 927 achieved definitive cure. Therefore, 84 further patients 'dropped out'. Doesn't correspond exactly to flow chart, because end of initial cure is not clearly defined for all. 128 = 84 + 44</t>
  </si>
  <si>
    <t>Some concerns</t>
  </si>
  <si>
    <t>Mild concerns</t>
  </si>
  <si>
    <t>all relapses</t>
  </si>
  <si>
    <t>Number of enrolled patients</t>
  </si>
  <si>
    <t>The difference between 660 and 657 patients having assessed/achieved initial not clear. "Initial cure:  clinical improvement with no parasites at the end of treatment or parasite density of 1 at the end of treatment with no parasites on repeated smear 1 month after the end of treatment" This category includes all patients who underwent randomization and received at least one dose of a study drug</t>
  </si>
  <si>
    <t xml:space="preserve">4 patents died,  One patient assigned to paromomycin received a full course of amphotericin (?achieved initial cure?). 3 SAEs (non-fatal) occurred requiring discontinuation of the study drug. 5 patients had AE resulting in drug discontinuation (sometimes restarted). Number of patients with positive parasites at test of cure not reported. </t>
  </si>
  <si>
    <t>Reporting not entirely clear</t>
  </si>
  <si>
    <t>One patient died, 9 patients relapsed</t>
  </si>
  <si>
    <t>198 patients treated with SSG; 5 died, 10 switch to AmB and 2 defaulters (17); 198 - 17 = 181.  181 received &gt;= 25 days SSG treatment. 14 non-responders</t>
  </si>
  <si>
    <t>12 LTFU (between initial cure and 1 year follow-up, not sure if within 7 months)</t>
  </si>
  <si>
    <t xml:space="preserve">flow diagram does not disaggregate between BL-IC and IC-DC time frames. mITT is reported. </t>
  </si>
  <si>
    <t>Uncertain as flow does not distinguish between initial and final cure. But we know 2 patients were LTFU</t>
  </si>
  <si>
    <t>Confidence in number of relapses</t>
  </si>
  <si>
    <t>4 patients were lost to follow-up and 1 patient relapsed</t>
  </si>
  <si>
    <t>"Eight patients were unevaluable: (the four patients who could not be evaluated at two weeks), plus four patients who had relatively low hemoglobin values. The significance of isolated low hemoglobin values is unknown: anemia is a sign of relapsing VL but also is common in this patient population due to other etiologies."</t>
  </si>
  <si>
    <t>9 patients did not achieve initial cure (no further details provided)</t>
  </si>
  <si>
    <t>5 patients relased; 4 in the pentamidine group and 1 patient in the amphotericin B group. No LTFU (patients were chased)</t>
  </si>
  <si>
    <t>4 patients did not achieve initial cure</t>
  </si>
  <si>
    <t xml:space="preserve">Some concerns. Definition of initial cure seems more inclusive (includes patients who discontinued and had adverse effects). </t>
  </si>
  <si>
    <t>Inferring from the flow diagram and results section: 476 reported as achieving initial cure; overall 2 patients discontinued in AMB arm (must be prior to IC), and overall 50 patients discontinued in ABLE arm (including 2 AE, 45 'lack of efficacy', 1 'investigators decision' and 2 'LTFU'. Assuming AE and investigator's decision occurred before IC, then we have 376-3-x = 354. x must therefore be 19. So let's assume 19 of the 'lack of efficacy' are initial treatment failures, and therefore 45-19 = 26 relapses occurred[?]</t>
  </si>
  <si>
    <t xml:space="preserve">4 deaths and 2 patients switched to amphotericin B due to cardiotoxicity. Of the 114 who were assessed for IC; 104 achieved initial cure. </t>
  </si>
  <si>
    <t>Number of patients not achieving initial cure</t>
  </si>
  <si>
    <t>Other inclusion criteria were hemoglobin (Hb) ≥5 g/dL, white blood cells count ≥1000/cmm, platelet count ≥50000/cmm, prothrombin time ≥4 seconds above the control, and alkaline transaminase, aspartate transaminase, and alkaline phosphatase ≤2.5 times the upper limit of normal. Patients with past history of treatment with AmB or any other drug for VL within 30 days prior to screening, major surgery within 2 weeks prior to screening, concurrent malaria, alcoholism or illicit drug use/abuse or any condition associated with poor compliance, hypersensitivity to AmB, inactive ingredients of ABLE and LAmB formulations were excluded from the study. Patients who received any of the prohibited medications (any other investigational drugs, antileishmanial drugs other than study drug, corticosteroids, skeletal muscle relaxants, cyclosporine, digoxin, vancomycin, aminoglycosides, antifungal, immunosuppresive agents, and all potentially nephrotoxic drugs), who were positive for human immunodeficiency virus, hepatitis C virus and hepatitis B surface antigen infections and immune-compromised, were also excluded from the study.</t>
  </si>
  <si>
    <t>SA</t>
  </si>
  <si>
    <t>EA</t>
  </si>
  <si>
    <t>Exclusion criteria were signs/symptoms of severe VL (patients who were very weak, unable to walk, bleeding, jaundiced, suffering from sepsis and other concomitant infections/illnesses); anti-leishmanial or unlicensed investigational treatments within six months; underlying chronic disease such as severe cardiac, pulmonary, renal, or hepatic impairment; serum creatinine outside the normal range; liver function tests more than 3 times the normal range; platelet count less than 40,000/mm3; known alcohol abuse; pregnancy or lactation; concomitant acute drug usage for malaria and bacterial infection; pneumonia within last 7 days; known hypersensitivity to AmBisomeH or amphotericin B; any other condition which may invalidate the trial.</t>
  </si>
  <si>
    <t>Patients with a presence of parasites at initial assessment of cure but who were clinically well were invited to return after one month to further assess their status and need for rescue treatment. Patients who did not clear parasites at end of treatment but did by six months follow-up, in the absence of a requirement for additional rescue treatment, were classified as treatment successes at six months as patients who were slow responders, in line with previous trials in the region.</t>
  </si>
  <si>
    <t>Multiple dose AmBisome for SDA arm, and SSG for multiple dose AmBisome arm</t>
  </si>
  <si>
    <t>May</t>
  </si>
  <si>
    <t xml:space="preserve">Patients recruited during three periods; period 1,2,3. </t>
  </si>
  <si>
    <t>One patient did not have VL confirmed and was excluded</t>
  </si>
  <si>
    <t>ITT and PP outcomes are the same</t>
  </si>
  <si>
    <t>Non VL</t>
  </si>
  <si>
    <t xml:space="preserve">Study had to be prematurely terminated due to poor efficacy in multiple and single-dose regimens. There was variability across sites which is yet to be explained. </t>
  </si>
  <si>
    <t xml:space="preserve">8 LTFU (all in the multidose AmBisome arm), and 1 death (not due to VL). It is not clear whether the 8 LTFU include those who were not cured at initial cure assessment, so number of relapses in MDA arm not clear. </t>
  </si>
  <si>
    <t>8 (maybe more)</t>
  </si>
  <si>
    <t>Unsure number of relapses in MDA arm</t>
  </si>
  <si>
    <t>Patients were excluded from the study if they: had negative
bone-marrow smears; were clinically contraindicated to having a
bone-marrow aspirate; received any anti-leishmania drug in the
past 6 months; had severe protein or caloric malnutrition
(Kwashiorkor or marasmus); had previous hypersensitivity reac-
tion to aminoglycosides; suffered from a concomitant severe
infection, ie tuberculosis, HIV, or any other serious underlying
disease (cardiac, renal, hepatic); suffered from other conditions
associated with splenomegaly such as schistosomiasis; had previous
history of cardiac arrhythmia or an abnormal electrocardiogram
(ECG); were pregnant or lactating; or had pre-existing clinical
hearing loss. If tuberculosis or schistosomiasis were suspected,
these were screened through laboratory testing. Additionally,
patients with the following laboratory values were excluded:
hemoglobin less than 5 g/dL; white blood cell less than 103/mm3
;
platelets less than 40,000/mm3; liver function test values more
than three times the normal range; and serum creatinine values
outside the normal range for age and gender.</t>
  </si>
  <si>
    <t xml:space="preserve">Parasite clearance confirmation in bone marrow. Patients without clinical response received rescue treatment. </t>
  </si>
  <si>
    <t>Not clear</t>
  </si>
  <si>
    <t>Musa AM</t>
  </si>
  <si>
    <t>From protocol (DNDi protocol)</t>
  </si>
  <si>
    <t xml:space="preserve">No LTFU confirmed. 5 patients did not achieve parasitological cure. </t>
  </si>
  <si>
    <t>5 patients did not achieve initial cure (3 patients in 20mg/kg group and 2 patients in 15mg/kg group)</t>
  </si>
  <si>
    <t xml:space="preserve">1 x LTFU in 20mg/kg/day PM group (also treatment failure due to parasite positive, but not treated as clinical improving). 3 relapses in 15mg/kg PM group, 2 relapses in 20mg/kg PM group. One of the treatment failures in the 15mg/kg group went on achieve definitive cure, and labelled as a SLOW RESPONDER. </t>
  </si>
  <si>
    <t>Improvement in EOT efficacy by increasing PM dose by 33%</t>
  </si>
  <si>
    <t>Slow responder cases (n = 1) are considered initial treatment failures but with definite cure</t>
  </si>
  <si>
    <t>Not a prerequisite</t>
  </si>
  <si>
    <t>Time after beginning treatment</t>
  </si>
  <si>
    <t xml:space="preserve">If clinical concerns patient would receive rescue treatment. Slow responder were defined as treatment failures, with positive parasite smear at initial cure evaluation, subsequent negative smear at definitive cure evaluation and not needing rescue treatment. Slow responders could achieve definitive cure </t>
  </si>
  <si>
    <t>Divded into treatment arms (the dataset includes all 3 arms, the study describes only monotherapy arms)</t>
  </si>
  <si>
    <t>HIV-positive 4 in SSG and 6 in PM. Not tested in 87 patients (just under a third)</t>
  </si>
  <si>
    <t>6 month assessment: SSG: 17 patients LTFU between EOT and 6 months, 1 death not due to VL. PM: 7 patients LTFU, 1 death not due to VL</t>
  </si>
  <si>
    <t>1 patients in SSG arm withdrawn due to TB coinfection</t>
  </si>
  <si>
    <t>270 (described)</t>
  </si>
  <si>
    <t>SSG: 123/134, PM: 91/135</t>
  </si>
  <si>
    <t>Just one patient excluded from the analysis (TB coinfection)</t>
  </si>
  <si>
    <t>SSG:L 107/116, PM: 81/127 (but, some patients with initial treatment failure achieved definitive cure)</t>
  </si>
  <si>
    <t>Not confident (not reported in study)</t>
  </si>
  <si>
    <t>3 due to VL and 1 due to non-VL (according to flow chart figure), 1 due to VL and 2 due to non-VL (according to flow chart caption), in text: overall 5 patients died (two during hospitalisation, 3 after discharge due to 'other' infections)</t>
  </si>
  <si>
    <t>5 (SSG: 3,  PM: 2)</t>
  </si>
  <si>
    <t>Slow responders comment(s)</t>
  </si>
  <si>
    <t>Numbers not described</t>
  </si>
  <si>
    <t>There were two slow responders (parasite positive at EOT); one in the 20mg/kg group who was subsequently LTFU, and one in 15mg/kg group who subsequently completed treatment without rescue treatment</t>
  </si>
  <si>
    <t xml:space="preserve">Standard DNDi. Patients offered testing and counselling for HIV, but this was not a prerequisite for inclusion. </t>
  </si>
  <si>
    <t>[At EOT]: "the proportion of slow responders (i.e. patients still having detectable parasites at the end of treatment, without any rescue medication given) were similar in both arms.". Note = exact numbers not provided.</t>
  </si>
  <si>
    <t xml:space="preserve">Sodium stibogluconate (SSG) &amp; paromomycin combination compared to SSG for visceral leishmaniasis in East Africa: a randomised controlled trial. </t>
  </si>
  <si>
    <t>From publication</t>
  </si>
  <si>
    <t>Yes (for PM vs SSG and PM vs PM&amp;SSG)</t>
  </si>
  <si>
    <r>
      <rPr>
        <b/>
        <sz val="12"/>
        <color theme="1"/>
        <rFont val="Aptos Narrow"/>
        <family val="2"/>
        <scheme val="minor"/>
      </rPr>
      <t>PM vs SSG:</t>
    </r>
    <r>
      <rPr>
        <sz val="12"/>
        <color theme="1"/>
        <rFont val="Aptos Narrow"/>
        <family val="2"/>
        <scheme val="minor"/>
      </rPr>
      <t xml:space="preserve"> 205 per arm ( = 410). These patients are all in VSEVQC dataset.
</t>
    </r>
    <r>
      <rPr>
        <b/>
        <sz val="12"/>
        <color theme="1"/>
        <rFont val="Aptos Narrow"/>
        <scheme val="minor"/>
      </rPr>
      <t xml:space="preserve">SSG &amp; PM vs SSG: </t>
    </r>
    <r>
      <rPr>
        <sz val="12"/>
        <color theme="1"/>
        <rFont val="Aptos Narrow"/>
        <scheme val="minor"/>
      </rPr>
      <t>386 in SSG arm, 381 in SSG &amp; PM arm</t>
    </r>
  </si>
  <si>
    <r>
      <rPr>
        <b/>
        <sz val="12"/>
        <color theme="1"/>
        <rFont val="Aptos Narrow"/>
        <family val="2"/>
        <scheme val="minor"/>
      </rPr>
      <t>PM vs SSG</t>
    </r>
    <r>
      <rPr>
        <sz val="12"/>
        <color theme="1"/>
        <rFont val="Aptos Narrow"/>
        <family val="2"/>
        <scheme val="minor"/>
      </rPr>
      <t xml:space="preserve">: 175/203 (PM) and 197/205 (SSG), complete case.
</t>
    </r>
    <r>
      <rPr>
        <b/>
        <sz val="12"/>
        <color theme="1"/>
        <rFont val="Aptos Narrow"/>
        <scheme val="minor"/>
      </rPr>
      <t>SSG &amp; PM vs SSG</t>
    </r>
    <r>
      <rPr>
        <sz val="12"/>
        <color theme="1"/>
        <rFont val="Aptos Narrow"/>
        <family val="2"/>
        <scheme val="minor"/>
      </rPr>
      <t>: 366/385 (SSG), 352/378 (SSG &amp; PM)</t>
    </r>
  </si>
  <si>
    <r>
      <t xml:space="preserve">SSG vs PM: </t>
    </r>
    <r>
      <rPr>
        <sz val="12"/>
        <color theme="1"/>
        <rFont val="Aptos Narrow"/>
        <family val="2"/>
        <scheme val="minor"/>
      </rPr>
      <t xml:space="preserve">8 slow responders in the PM population and none in the SSG arm (with neg 6 month parasitology
</t>
    </r>
    <r>
      <rPr>
        <b/>
        <sz val="12"/>
        <color theme="1"/>
        <rFont val="Aptos Narrow"/>
        <family val="2"/>
        <scheme val="minor"/>
      </rPr>
      <t xml:space="preserve">
SSG &amp; PM vs SSG:</t>
    </r>
    <r>
      <rPr>
        <sz val="12"/>
        <color theme="1"/>
        <rFont val="Aptos Narrow"/>
        <scheme val="minor"/>
      </rPr>
      <t xml:space="preserve"> 7/359 slow responders in SSG &amp; PM, 3/359 slow responders in SSG</t>
    </r>
  </si>
  <si>
    <r>
      <t xml:space="preserve">SSG vs PM: </t>
    </r>
    <r>
      <rPr>
        <sz val="12"/>
        <color theme="1"/>
        <rFont val="Aptos Narrow"/>
        <family val="2"/>
        <scheme val="minor"/>
      </rPr>
      <t xml:space="preserve">167/205 definite cure in PM, 188/205 definite cure in SSG (worst case scenario)
</t>
    </r>
    <r>
      <rPr>
        <b/>
        <sz val="12"/>
        <color theme="1"/>
        <rFont val="Aptos Narrow"/>
        <scheme val="minor"/>
      </rPr>
      <t>SSG &amp; PM vs SSG</t>
    </r>
    <r>
      <rPr>
        <sz val="12"/>
        <color theme="1"/>
        <rFont val="Aptos Narrow"/>
        <family val="2"/>
        <scheme val="minor"/>
      </rPr>
      <t>: 328/381 vs 337/386 (SSG &amp; PM vs SSG, worst case)</t>
    </r>
  </si>
  <si>
    <t>Very little</t>
  </si>
  <si>
    <t>~ 50 LTFU overall</t>
  </si>
  <si>
    <t>Support use of combination therapy</t>
  </si>
  <si>
    <t xml:space="preserve">VSEVQC and VHTYWO report the same patients and no explicit reporting of relapses. Will need to trust the IPD. </t>
  </si>
  <si>
    <t>No - but offered</t>
  </si>
  <si>
    <t>Females excluded. Also excluded if they had 'such severe comorbidity that they were considered to be likely to die during the month's treatment' .</t>
  </si>
  <si>
    <t>male</t>
  </si>
  <si>
    <t xml:space="preserve">After completing initial treatment. </t>
  </si>
  <si>
    <t>defined as initial parasitological clearance as demonstrated by TOC aspirate in combination with clinical improvement, or clinical cure alone [clearance of fever, in combination with spleen regression, increased hemoglobin, or weight gain] for a patient for whom a TOC aspirate could not be performed)</t>
  </si>
  <si>
    <t>SSG if previously treated with miltefosine. Otherwise amphotericin B</t>
  </si>
  <si>
    <t>Nov</t>
  </si>
  <si>
    <t>From dataset</t>
  </si>
  <si>
    <t>Generally well documented. It seems as though patients with initial treatment failure that were retreated were included in the numbers for achieving initial cure</t>
  </si>
  <si>
    <t>25 failed, 1 discontinued, 10 defaulted, 34 died</t>
  </si>
  <si>
    <t>Not described</t>
  </si>
  <si>
    <t>113 LTFU</t>
  </si>
  <si>
    <t>Good</t>
  </si>
  <si>
    <t>Miltefosine is an acceptable treatment for men with VL in Ethiopiabn men. Miltefosine is probably safter, but less effective as a treatment in HIV-coinfected men. Due to high number of seaths in HIV-VL patients with SSG, miltefosine is preferred, despite the overall lower efficacy</t>
  </si>
  <si>
    <t>In its time, this was the largest VL RCT</t>
  </si>
  <si>
    <t>Exclusion: (i) relapsed VL, (ii) received any anti-leishmanial drugs within the previous six months, (iii) severe malnutrition (= a z score of &lt;-3 on weight-for-height WHO reference curves, if aged &lt;5 years or a z score of &lt;-3 on BMI-for-age WHO reference curves, if aged 5-12 years), (iv) positive HIV diagnosis, (v) previous history of hypersensitivity to miltefosine, (vi) concomitant severe infection or any other serious underlying disease, (vii) any condition associated with splenomegaly, such as schistosomiasis, (viii) had reached menarche (female patients), (ix) haemoglobin concentrations of &lt;5 g/dL, (x) white blood cell count of &lt;1x103/mL blood, (xi) platelet count of &lt;40,000/mL blood, (xii) abnormal liver function (= blood alanine-transferase and aspartate transferase levels &gt;3-times above upper limit of normal range), (xiii) blood bilirubin levels &gt;1.5-times greater than upper limit of normal range, (xiv) serum creatinine levels above upper limit of normal range, (xv) clinical signs of severe VL (jaundice and bleeding), (xvi) unable to comply with study protocol.</t>
  </si>
  <si>
    <t>Day 28</t>
  </si>
  <si>
    <t>This is after completing treatment</t>
  </si>
  <si>
    <t>ITT</t>
  </si>
  <si>
    <t>Very clear</t>
  </si>
  <si>
    <t>None</t>
  </si>
  <si>
    <t>Higher miltefosine exposure in children, and better efficacy although limited by small number (compared to 0208)</t>
  </si>
  <si>
    <t>Only 30 patients, but outcomes are very clear. No discussion of slow responders or whether HIV testing was mandatory.</t>
  </si>
  <si>
    <t xml:space="preserve">Previous VL treatment. Nomadic patients excluded. Severe disease not excluded. </t>
  </si>
  <si>
    <t>Within 5 days of EOT</t>
  </si>
  <si>
    <t>1998</t>
  </si>
  <si>
    <t>From manuscript</t>
  </si>
  <si>
    <t>254 (Pentostam), 239 (Generic)</t>
  </si>
  <si>
    <t>1 patient defaulted</t>
  </si>
  <si>
    <t xml:space="preserve">Some patients achieved initial cure despite positive 1st TOC: 29 who had a positive TOC and extended treatment until TOC negative. Other patients: 4 had a negative TOC, but treatment extended due to PKDL. </t>
  </si>
  <si>
    <t>Patients with positive TOC or PKDL at EOT continued treatment beyond planned duration</t>
  </si>
  <si>
    <t>57 LTFU</t>
  </si>
  <si>
    <t>57 LTFU, 4 relapses, 4 deaths</t>
  </si>
  <si>
    <t>Multiple</t>
  </si>
  <si>
    <t>Supports use of generic SSG. "This is the largest randomised drug evaluation ever undertaken in kala-azar patients."</t>
  </si>
  <si>
    <t>Not truly randomised (used DAT ledger number)</t>
  </si>
  <si>
    <t>Patients previously treated for VL were excluded. Informed verbal consent was given by the patient or his/her guardian/parent. Participation in the study, including HIV testing, was voluntary and patients would receive treatment with Pentostam if they were to decline. The study protocol was ethically reviewed by MSF and approved by the Tigray regional health authorities.</t>
  </si>
  <si>
    <t>HIV was voluntary, not always possible</t>
  </si>
  <si>
    <t>Splenic aspirate</t>
  </si>
  <si>
    <t>Clear</t>
  </si>
  <si>
    <t>1 with positive TOC aspirate, 48 deaths, 1 defaulted</t>
  </si>
  <si>
    <t>Clearly communicated in table 3 of the manuscript</t>
  </si>
  <si>
    <t>Of the 48 patients who had repeat splenic aspirate, 1 was positive (SSG group)</t>
  </si>
  <si>
    <t>32 LTFU (out of 150 patients who completed treatment)</t>
  </si>
  <si>
    <t>32 LTFU, 3 relapses 4 more deaths</t>
  </si>
  <si>
    <t>3 (2 HIV+, 1 HIV-)</t>
  </si>
  <si>
    <t>Generic SSG and Pentostam can be considered equivalent. This was a very sick cohort.</t>
  </si>
  <si>
    <t xml:space="preserve">Efficacy and Safety of AmBisome in Combination with Sodium Stibogluconate or Miltefosine and Miltefosine Monotherapy for African Visceral Leishmaniasis: Phase II Randomized Trial. </t>
  </si>
  <si>
    <t>Wasunna M</t>
  </si>
  <si>
    <t>"The target population was primary cases, so known relapse cases, or receipt of any anti-leishmanial drugs in the previous 6 months, was an exclusion criterion. Other exclusion criteria were: severe protein and/or caloric malnutrition defined as kwashiorkor or marasmus in children and BMI &lt;15 in adults; previous history of hypersensitivity reaction to SSG or amphotericin B; concomitant severe infection such as TB or other serious underlying disease which would preclude evaluation of patients response to the study medication; other conditions associated with splenomegaly such as schistosomiasis; previous history of cardiac arrhythmia or an abnormal ECG; Hb&lt;5 g/dL; WBC &lt;103/mm3; platelets &lt;40,000/mm3, abnormal liver function tests (ALT and AST) of more than three times the upper limit of the normal range, serum creatinine outside the normal range for age and gender, and major surgical intervention within two weeks prior to enrolment. Due to the potential teratogenicity of miltefosine, females of child bearing age were also excluded."</t>
  </si>
  <si>
    <t>D28</t>
  </si>
  <si>
    <t>EOT</t>
  </si>
  <si>
    <t>Parasitological confirmation</t>
  </si>
  <si>
    <t>Liposomal amphotericin B, 30mg/kg total dose, according to country's policy</t>
  </si>
  <si>
    <t xml:space="preserve">1 patient excluded due to serious concomittant condition, 2 due to adverse events, one death. The remaining patients failed due to positive TOC </t>
  </si>
  <si>
    <t>0 LTFU, 3 x relapses, 1 further death</t>
  </si>
  <si>
    <t xml:space="preserve">First trial looking at AmBisome containing combination therapy in East Africa (LEAP 0208). None of the tested regimens met target efficacy of 90% and so will not be further tested. </t>
  </si>
  <si>
    <t>1 slow responder reported in each treatment arm (3 in total)</t>
  </si>
  <si>
    <t>Region</t>
  </si>
  <si>
    <t>Additional Questions</t>
  </si>
  <si>
    <t>Can parasitaemia details (from MB domain)  assist in identifying  and confirming relapse cases?</t>
  </si>
  <si>
    <t>Can rescue treatment details (from IN domain)  assist in identifying  and confirming relapse cases?</t>
  </si>
  <si>
    <t>Confidence in ability to identify patients lost-to-follow-up in the dataset</t>
  </si>
  <si>
    <t xml:space="preserve">Fever ≥ 2 weeks
Splenomegaly
</t>
  </si>
  <si>
    <t>rk39 rapid test positive
Confirmed diagnosis of VL by visualization of parasites on bone marrow or splenic aspirate</t>
  </si>
  <si>
    <t>Haemoglobin ≥ 6 g/dl</t>
  </si>
  <si>
    <t>WBC ≥ 1.0 x 10^9/L</t>
  </si>
  <si>
    <t>Platelets ≥ 50 x 10^9/L</t>
  </si>
  <si>
    <t>PTT &lt; 5 sec above control</t>
  </si>
  <si>
    <t>AST, ALT ≤ 3 times the upper limit of normal 
Bilirubin ≤ 1.5 times the upper limit of normal</t>
  </si>
  <si>
    <t>Within normal limit</t>
  </si>
  <si>
    <t>Previous treatment for VL within two months of enrolment into the study</t>
  </si>
  <si>
    <t>1.	A history of intercurrent or concurrent diseases (e.g. Chronic alcohol consumption or drug addiction, renal, hepatic, cardiovascular or CNS disease; diabetes mellitus, other infectious diseases or major psychiatric diseases) that may introduce variables that affect the outcome of the study
2.	Any condition which according to the investigator might prevent the patient from completing the study therapy and subsequent follow up
3.	A history of allergy or hypersensitivity to Amphotericin B
6	Post Kala-azar Dermal Leishmaniasis (PKDL) 
7	Concomitant treatment with other anti-leishmanial drugs</t>
  </si>
  <si>
    <t>"Pregnant women or lactating mother"</t>
  </si>
  <si>
    <t>"Rescue treatment will be initiated if there is deterioration in clinical condition likely attributable to VL. Rescue therapy will be given also to those who fail to achieve initial parasitological response or final cure. In this case, the patient may be admitted to the hospital for the treatment. Since there is no evidence of resistance of Leishmania parasites to AmBisome, a second dose of AmBisome at 3 mg/kg/day, intravenously for 5 days will be given as rescue therapy.  If despite of it, the subject needs more treatment, injectable amphotericin B deoxycholate in doses of 1.0 mg/kg for 15 doses will be provide."</t>
  </si>
  <si>
    <t>Protocol only</t>
  </si>
  <si>
    <t>Can contributor described outcome details (from RS/DS domain) assist in identifying and confirming relapse cases?</t>
  </si>
  <si>
    <t xml:space="preserve">How well do outcome markers concur? [Good concordance, reasonable concordance, poor concordance) </t>
  </si>
  <si>
    <t>N/A</t>
  </si>
  <si>
    <t>Where measured, all patients had no detectable parasites at initial cure (D19). One initial treatment failure, one relapse.</t>
  </si>
  <si>
    <t xml:space="preserve">February </t>
  </si>
  <si>
    <t>No outcome data is available - no publications. However, only 35 patients in dataset, of whom 1 is a relapse (confident), and 1 is a treatment failure (confident)</t>
  </si>
  <si>
    <t>Despite no publication available,  results are clear and consistent in the dataset.</t>
  </si>
  <si>
    <t>Confidence in ability to extract available predictor information from dataset</t>
  </si>
  <si>
    <t>not specified</t>
  </si>
  <si>
    <t>Patients not from the districts of Sunsari, Morang and Saptari</t>
  </si>
  <si>
    <t>Parasitologically proven. "Giemsa-stained bone marrow aspirate or spleen aspirate (if bone marrow aspirate was negative)"</t>
  </si>
  <si>
    <t>"No history of previous treatment with SSG"</t>
  </si>
  <si>
    <t>30 +/- 40 days</t>
  </si>
  <si>
    <t>19 +/- 45 days</t>
  </si>
  <si>
    <t xml:space="preserve">Amphotericin B, 0.5 mg/kg/d for 14 d, if remains smear positive after 40 days of SSG. </t>
  </si>
  <si>
    <t>How well do the reported number of relapses from the publication correlate with the dataset findings?</t>
  </si>
  <si>
    <t>How well do the reported number of LTFU cases from the publication correlate with the dataset findings?</t>
  </si>
  <si>
    <t>How well do the reported total number of patients from the publication correlate with the dataset findings?</t>
  </si>
  <si>
    <t>Confidence in ability to identify patients with initial treatment failure in the dataset</t>
  </si>
  <si>
    <t>"...symptoms and signs of Kala-azar (e.g. fever, weight loss, and splenomegaly)..."</t>
  </si>
  <si>
    <t>Positive on splenic aspiration</t>
  </si>
  <si>
    <t>"Pregnant or breast-feeding women ... were excluded"</t>
  </si>
  <si>
    <t xml:space="preserve">"...serious concomittent infection, such as tuberculosis or bacterial pneumonias, were excluded" </t>
  </si>
  <si>
    <t>Haemoglobin ≥ 3.5 g/dl</t>
  </si>
  <si>
    <t>Platelets ≥ 40 x 10^9/L</t>
  </si>
  <si>
    <t>Granulocyte count ≥ 1.0 x 10^9/L</t>
  </si>
  <si>
    <t>"Hepatic transaminase levels" or bilirubin &gt; 3 times the upper limit of normal</t>
  </si>
  <si>
    <t>Creatinine &gt; 2.0 mg/dl</t>
  </si>
  <si>
    <t>"Parasite density score for pretreatment and posttreatment splenic aspirate smears was graded by microscopic examination in a blinded fashion with use of a conventional logarithmic scale of 0 (indicating no parasites per 1000 oil-immersion fields) to +6 (indicating 100 amastigotes per field)" (citing 2 x Sundar trials, not citing Bryceson)</t>
  </si>
  <si>
    <t>Parasite density will be graded microscopically, from 0 (no amastigote per 1000 oil immersion fields) to 6 (&gt;100 amastigotes per field). For final efficacy, all smears will be read unblinded by the same pathologist. No citation.</t>
  </si>
  <si>
    <t>"Stained smears were designated as 'positive' if L. donovani bodies were seen or 'negative' if none were seen in 100 oil immersion fields. Two doctors read the slides independently. Parasite density score was determined microscopically in the Giemsa-stained smears by the use of a logarithmic scale ranging from 0 (no parasites per 100 oil immersion fields) to + 6 (&gt; 100 parasites per field). For quality control, 10% of the slides were cross-checked at the Protozoology Unit (Prof. Dominique Le Ray) of the Institute of Tropical Medicine in Antwerp, Belgium." No citation.</t>
  </si>
  <si>
    <t>Moderate</t>
  </si>
  <si>
    <t xml:space="preserve">No patients were lost to follow-up. 2 of the relapses occur after 6 months of follow-up, and these are described both in the publication and clearly identified in the dataset. </t>
  </si>
  <si>
    <t xml:space="preserve">Despite 9-month follow-up, we are able to identify the 2 patients that relapsed between 6 and 9 months. Given parasite smears were only collected in symptomatic patients, these patients can be reclassified as cured. </t>
  </si>
  <si>
    <t>"with signs and symptoms of VL (ie, fever, weight loss, splenomegaly)</t>
  </si>
  <si>
    <t>Included patients with prior VL treatment (all SSG)</t>
  </si>
  <si>
    <t>"Women with child-bearing potential were excluded from the study if they were breast-feeding, were pregnant, or were not using any contrapception"</t>
  </si>
  <si>
    <t>Haemoglobin ≥ 4 g/dl</t>
  </si>
  <si>
    <t>"liver function test results &gt;3 times of upper limit of normal"</t>
  </si>
  <si>
    <t>Above the upper limit of normal</t>
  </si>
  <si>
    <t>"Patients with relapsed VL or who experienced treatment failure while receiving a regimen that did not contain paromomycin were  also included, "those
who had taken VL treatment within the past 14 days were excluded from the study"</t>
  </si>
  <si>
    <t>"abnormal audiometric, and/or vestibular function", "concomitant severe medical
conditions", "Patients who were allergic to aminoglycosides, those treated with a parenteral aminoglycoside within 28 days prior to randomization or with paromomycin at any time and those who had taken VL treatment within the past 14 days were excluded from the study"</t>
  </si>
  <si>
    <t>Indirectly defined with final cure</t>
  </si>
  <si>
    <t>Despite lack of IN, high confidence in numbers</t>
  </si>
  <si>
    <t>"A clinical diagnosis of VL with consistent signs and symptoms (e.g., fever, splenomegaly)"</t>
  </si>
  <si>
    <t>WBC count ≥ 2.0 x 10^9/L</t>
  </si>
  <si>
    <t>Positive by bone-marrow aspirate</t>
  </si>
  <si>
    <t>"Pregnancy or breast-feeding or refusal to use contraceptive techniques for the treatment period and two months after treatment with miltefosine. Both for male as well as female contraception, prevailing national policies will be adopted."</t>
  </si>
  <si>
    <t>"Any condition or situation that compromises compliance with study procedures
including follow-up visits.", "Pulmonary tuberculosis: confirmed by chest X-ray and/or sputum AFB"</t>
  </si>
  <si>
    <t>"Bone marrow aspirates will be designated as either positive (amastigotes present) or negative if no amastigotes are seen in 1000 oil immersion fields"</t>
  </si>
  <si>
    <t>Moderate risk of bias</t>
  </si>
  <si>
    <t>Come from area of Bihar where most cases are unresponsive to sodium antiomny gluconate</t>
  </si>
  <si>
    <t>Tested negative for hepatitis B and C virus</t>
  </si>
  <si>
    <t>Confirmed on splenic aspirate</t>
  </si>
  <si>
    <t>Each splenic aspirate collected on presentation (i.e. pre-treatment) and post-treatment was examined as a stained
smear, at x 1000, and scored on a log scale (Chulay and Bryceson, 1983) from 0 (no parasites/1000 fields) to 6+ (&gt;100 parasites/field).</t>
  </si>
  <si>
    <t>Poor</t>
  </si>
  <si>
    <t>Only 5 patients reported in manuscript, and 10 patients reports in dataset</t>
  </si>
  <si>
    <t>High risk of bias</t>
  </si>
  <si>
    <t>Only 6 patients</t>
  </si>
  <si>
    <t>Confirmed on bone marrow or splenic aspirate</t>
  </si>
  <si>
    <t>"Diagnosis of kala-azar was made by Giemsa-stained bone marrow aspirate or spleen aspirate (if bone marrow aspirate was negative) demonstrating Leishman-Donovan bodies, and the parasite density score was determined" [Chuley and Bryceson 1983 cited]</t>
  </si>
  <si>
    <t>"patients suspected as having VL (fever ≥ 2 weeks duration with clinical splenomegaly)"</t>
  </si>
  <si>
    <t>Treatment-naïve to Sb(V) therapy'</t>
  </si>
  <si>
    <t>Only 1 relapse within 6 months of EoT</t>
  </si>
  <si>
    <t>"fever &gt;2 weeks duration and splenomegaly"</t>
  </si>
  <si>
    <t>prescreening with rK39 rapid diagnostic test and confirmed by splenic or bone marrow aspirate smear examination</t>
  </si>
  <si>
    <t>Haemoglobin ≥ 5 g/dl</t>
  </si>
  <si>
    <t>WBC count ≥ 1.0 x 10^9/L</t>
  </si>
  <si>
    <t>PTT &lt; 4 sec above control</t>
  </si>
  <si>
    <t>ALP, AST, ALT &lt; 2.5 times the upper limit of normal</t>
  </si>
  <si>
    <t>Patients with past history of treatment with AmB or any other drug for VL within 30 days prior to screening</t>
  </si>
  <si>
    <t>major surgery within 2 weeks prior to screening, concurrent malaria, alcoholism or illicit drug use/abuse or any condition associated with poor compliance, hypersensitivity to AmB, inactive ingredients of ABLE and LAmB formulations were excluded from the study. Patients who received any of the prohibited medications (any other investigational drugs, antileishmanial drugs other than study drug, corticosteroids, skeletal muscle relaxants, cyclosporine, digoxin, vancomycin, aminoglycosides, antifungal, immunosuppresive agents, and all potentially nephrotoxic drugs), who were positive for human immunodeficiency virus, hepatitis C virus and hepatitis B surface antigen infections and immune-compromised, were also excluded from the study</t>
  </si>
  <si>
    <t>Parasite density was graded by microscopy using a conventional logarithmic scale of 0 (no amastigotes/1000 oil-immersion fields) to +6 (.100 amastigotes/1000 oil-immersion field) [no reference]</t>
  </si>
  <si>
    <t>"Non-pregnant, non-lactating females of age ≥5 years, and woman of childbearing potential (any woman who has reached menarche) who are willing to use acceptable methods of contraception like long term acting injections ex. Depo Provera."</t>
  </si>
  <si>
    <t>BUN and serum creatinine &gt;1.5 times ULN, and serum total bilirubin &gt;1.5 times ULN; Proteinuria ≥2+</t>
  </si>
  <si>
    <t>Confidence in correctly identifying relapses</t>
  </si>
  <si>
    <t xml:space="preserve">Only 150 of the 500 patients described in the dataset. Uncertainty re: definition of relapse. </t>
  </si>
  <si>
    <t>Only 150 of the 500 patients described in the dataset, so difficulty matching. Most patients described as relapse have parasitological confirmation, although patients with signs &amp; symptoms and no parasitology may be missed.</t>
  </si>
  <si>
    <t>"clinical diagnosis of VL (e.g., fever or splenomegaly)</t>
  </si>
  <si>
    <t>Splenic aspirate showing characteristic amastigotes</t>
  </si>
  <si>
    <t>"Approximately 10% of patients did not fill eligibility criteria for inclusion in the study for various reasons (e.g., they had malaria; other causes of fever-like tuberculosis, typhoid fever, or urinary tract infection, etc.; or cirrhosis of liver or severe anemia"</t>
  </si>
  <si>
    <t>Leukocyte count ≥ 1.0 x 10^9/L</t>
  </si>
  <si>
    <t>"Ongoing pregnancy or breastfeeding, refusal to use contraceptive methods during the treatment period and 2 months thereafter (as advised by the clinical investigators)</t>
  </si>
  <si>
    <t>Only 367 or 1132 patients described in the dataset, however overall outcomes are identifiable</t>
  </si>
  <si>
    <t>Only 367 of 1132 patients described</t>
  </si>
  <si>
    <t>"symptoms and signs of leishmaniasis (e.g., fever, weight loss, and splenomegaly)"</t>
  </si>
  <si>
    <t>Splenic aspirate confirming amastigotes</t>
  </si>
  <si>
    <t>"... [patients with] a serious concurrent infection, such as tuberculosis or bacterial penumonia, were excluded"</t>
  </si>
  <si>
    <t>WBC count ≥ 0.750 x 10^9/L</t>
  </si>
  <si>
    <t>AST or total bilirubin ≥ 5 times the normal range</t>
  </si>
  <si>
    <t>Creatinine level more than 1.5 x the upper limit of the normal range</t>
  </si>
  <si>
    <t>PTT of more than 4 seconds above the control level</t>
  </si>
  <si>
    <t>Parasite-density scores for aspirate smears before and after treatment were graded microscopically in a blinded fashion by two microbiologists, using a conventional logarithmic scale of 0 (indicating no parasites per 1000 oil-ommersion fields) to 6 (indicating &gt;100 amastigotes per 1000 fields). [reference to previous Sundar paper]</t>
  </si>
  <si>
    <t>Poor ability to identify IC, but only two patients</t>
  </si>
  <si>
    <t>Zero LTFU, only 2 patients without initial cure</t>
  </si>
  <si>
    <t>"signs and symptoms of VL"</t>
  </si>
  <si>
    <t>All had positive rK39. 
"They were processed through splenic/bone marrow aspiration for parasitological confirmation"</t>
  </si>
  <si>
    <t>WBC count ≥ 1 x 10^9/L</t>
  </si>
  <si>
    <t>ALT, AST, and ALP &gt; 2.5 times the upper limit of normal; bilirubin &gt;= 2 times the upper limit of nermal</t>
  </si>
  <si>
    <t>Seruym creatinine or blood urea nitrogen &gt;= 1.6 times the upper limit of normal</t>
  </si>
  <si>
    <t>"Patients seropositive for HIV, hepatitis B and C, hypersensitivity to amphotericin B or inactive ingredients of the amphotericin B formulation were also excluded"</t>
  </si>
  <si>
    <t>Signs and symptoms of VL at any point during follow-up period confirmed by bone marrow or splenic aspirate</t>
  </si>
  <si>
    <t>Only 3 LTFU and 2 RELAPSE (and all IC) out of 100 patients</t>
  </si>
  <si>
    <t>"lack of concomittant diseases such as malareia, HIV, and tuberculiosis"</t>
  </si>
  <si>
    <t>"lack of pregnancy or lactation"</t>
  </si>
  <si>
    <t>parasites present in the splenic aspirate</t>
  </si>
  <si>
    <t>"patients had the classical signs and symptoms of kala-azar"
"mild-moderate kala-azar"</t>
  </si>
  <si>
    <t>"either elimination of parasites or scanty parasites followed by resolution of clinical symptoms"</t>
  </si>
  <si>
    <t>Not applicable</t>
  </si>
  <si>
    <t>The dataset only presents 32 patients from RMRIMS</t>
  </si>
  <si>
    <t>RMRIMS dataset (only reports 32 of the 135 patients described in the publication)</t>
  </si>
  <si>
    <t>Column1</t>
  </si>
  <si>
    <t>The dataset only presents 100 patients from KAMRC</t>
  </si>
  <si>
    <t>KAMRC dataset (only reports 100 of the 135 patients described in the publication)</t>
  </si>
  <si>
    <t>"Patients unresponsive to SSG after full course of treatment and having complaints of continued fever with rigor hepato-splenomegaly, anorexia, anemia, loss of weight and attending RMRIMS OPD"</t>
  </si>
  <si>
    <t>"demonstration of parasite in bone marrow (BM)/splenic(SPL) aspiration"</t>
  </si>
  <si>
    <t>Excluded patients partially treated with SSG, and history of Kala-azar in the last five years</t>
  </si>
  <si>
    <t>"significant abnormalities in liver and renal function tests "</t>
  </si>
  <si>
    <t>excluded</t>
  </si>
  <si>
    <t>"sputum for acid-fast bacilli (AFB) and chest x-rat (PA-view) negative for tuberculosis or pneumonia"; "diabetics"; "associated diseases like tuberculosis (TB), HIV/AIDS, and malaria"</t>
  </si>
  <si>
    <t>"Lactating mother" "pregnant women"</t>
  </si>
  <si>
    <t>Haemoglobin ≥ 6g/dl
"In cases of VL, who had severe anemia (Hb 6 gm/dl), before excluding such patient from the study an effort was undertaken to increase their hemoglobin level by giving fresh blood transfusion as required"</t>
  </si>
  <si>
    <t>Two weeks after EoT</t>
  </si>
  <si>
    <t>not clearly defined</t>
  </si>
  <si>
    <t>"no previous treatment with antimony or paromomycin unless the treatment terminated two months prior to the study and the patient was worsening"</t>
  </si>
  <si>
    <t>Relapse defined in RS - likely believable</t>
  </si>
  <si>
    <t>"fever of 2 weeks with splenomegaly, not vresponding to antimalarials and antibiotics"</t>
  </si>
  <si>
    <t>depends</t>
  </si>
  <si>
    <t>"pregnant/breast-feeding women, women of child-bearing age not consenting to avoid pregnancy during and after 6 months of treatment"</t>
  </si>
  <si>
    <t>yes</t>
  </si>
  <si>
    <t>"presence of a serious illness, concurrent diseases, such as tuberculosis or bacterial pneumonia"</t>
  </si>
  <si>
    <t>"hepatic transaminase levels &gt; 5 times of the normal limit"; bilirubin &gt; 2.0 mg/dl</t>
  </si>
  <si>
    <t>above the normal limit (&gt; 1.5mg/dl)</t>
  </si>
  <si>
    <t>PTT &gt; 5 seconds above control</t>
  </si>
  <si>
    <t xml:space="preserve">No MB or IN data. High risk given diagnosis of relapse is not stated and may well vary between sites. </t>
  </si>
  <si>
    <t>Relapse not defined</t>
  </si>
  <si>
    <t>"signs and symptoms of VL (fever, weight loss and splenomegaly)"</t>
  </si>
  <si>
    <t xml:space="preserve">splenic aspirate </t>
  </si>
  <si>
    <t>"patients were excluded if they were breast feeding or pregnant"</t>
  </si>
  <si>
    <t>"Patients who had failed to respond to sodium stibogluconate treatment previously were also included after a washout period of 10 days."
"Patients were excluded if they had previuosly failed treatment with amphotericin B for VL£"</t>
  </si>
  <si>
    <t>Granulocyte count ≥ 1 x 10^9/L</t>
  </si>
  <si>
    <t>"hepatic transaminases &gt;3 times the normal upper limit and ⁄ or total bilirubin &gt;2 times of normal upper limit"</t>
  </si>
  <si>
    <t>serum creatinine &gt;= 1.5 times of normal upper limit</t>
  </si>
  <si>
    <t>"Patients with concomitant life-threatening disease or serious concurrent infection such as tuberculosis or bacterial pneumonia and those allergic to amphotericin B or any other ingredients of the emulsion formulation were also excluded from the study"</t>
  </si>
  <si>
    <t>Parasite density was graded on microscopy in a blinded fashion using a conventional logarithmic scale of 0 (no parasite per 1000 oil immersion fields) to +6 [&gt;100 amastigotes ⁄ field (Chulay &amp; Bryceson 1983)]</t>
  </si>
  <si>
    <t xml:space="preserve">Relapse not clearly defined </t>
  </si>
  <si>
    <t>Relapse not clearly defined</t>
  </si>
  <si>
    <t>creatinine of BUN &gt; 1.5 times the limit of normal</t>
  </si>
  <si>
    <t>bilirubin &gt; 2 mg/dl</t>
  </si>
  <si>
    <t>History of VL treatment in the last 45 days excluded</t>
  </si>
  <si>
    <t>Hepatitis B, C active tuberculosis, or another serious illness or associated disease known to alter liver/kidney functions, or known hypersensitivity/allergy to the study drug or their constituents</t>
  </si>
  <si>
    <t>women who were pregnant or lactation</t>
  </si>
  <si>
    <t>parasitologically confirmed</t>
  </si>
  <si>
    <t>Yes. Parasite density was graded by microscopy in a blinded fash- ion using a conventional logarithmic scale of 0 (no parasites per 1,000 oil immersion fields) to +6 (&gt; 100 amastigotes per field). In case any subject had an aspirate score of +1 at day 30, a reaspiration was performed after 4 weeks of assessment. [Chulay &amp; Bryceson]</t>
  </si>
  <si>
    <t>Definitive cure was defined as the absence of signs or symptoms of relapse at 6 months in those with initial cure. If, at any point during follow-up or at the 6-month visit, a relapse was suspected, parasitological confirmation by examination of splenic smear was done to document relapse.</t>
  </si>
  <si>
    <t>3 relapses identified in dataset, 2 in publication</t>
  </si>
  <si>
    <t>"fever with chills and rigor for 2 weeks or more, not responding to antimalarial drugs, and splenomegaly were included"</t>
  </si>
  <si>
    <t>not described</t>
  </si>
  <si>
    <t>360 patients with no 6 month outcome data</t>
  </si>
  <si>
    <t xml:space="preserve">360 patients with no 6 month outcome data. MB timing data (MBDY) inconsistent with reported relapses. </t>
  </si>
  <si>
    <t>"Clinically suspected visceral leishmaniasis"</t>
  </si>
  <si>
    <t>"Positive splenic or bone marrow smear"</t>
  </si>
  <si>
    <t>ALT, AST, ALP &lt; 3 times the upper range of normal</t>
  </si>
  <si>
    <t>Serum potassium within normal limits</t>
  </si>
  <si>
    <t>Excluded if patient received treatment for VL in the previous 2 weeks, prior treatment with amphotericin without response</t>
  </si>
  <si>
    <t>"Pregnancy or lactation"</t>
  </si>
  <si>
    <t>"hearing loss of 75 dB in frequencies 1 through 8 kHz, a history of vestibular or auditory dysfunction [...] allergy or hypersensitivity to aminoglycosides, significant proteinuria (&gt;=2+ on strip testing), significant coexisting diseases possible affecting the response to the study treatment response"</t>
  </si>
  <si>
    <t>"Parasite density was graded on a log scale by pathologists who were also unaware of the treatment assignments"</t>
  </si>
  <si>
    <t>250 KAMRC patients presented (of 667 patients described in dataset)</t>
  </si>
  <si>
    <t>667 described in manuscript, 250 in dataset</t>
  </si>
  <si>
    <t>"symptoms and signs suggestive of VL (ie, fever with chills, rigor, and splenomegaly)"</t>
  </si>
  <si>
    <t>Splenic aspirate smears read by 2 observers in a blinded fashion.</t>
  </si>
  <si>
    <t>"Parasites in splenic-aspirate smears were graded on a log scale, from 0 (defined as 0 parasites per 1000 high-power fields in oil immersion) to ≥6 (defined as &gt;100 parasites per high-power field in oil immersion)" [Chulay and Bryceson cited]</t>
  </si>
  <si>
    <t>"presence of a serious illness or concurrent infectious disease, such as tuberculosis or bacterial pneumonia"</t>
  </si>
  <si>
    <t>ALT, AST &gt; 5 normal upper limit; bilirubin &gt; 2.0 mg/dL</t>
  </si>
  <si>
    <t>Pregnancy or lactation</t>
  </si>
  <si>
    <t xml:space="preserve">“Final cure” was defined as the absence of signs or symptoms of relapse at 6 months in those with initial cure. If at any point during follow-up or at the 6-month visit a relapse was suspected, a new parasitological evaluation with a splenic_x0002_ aspirate smear was done to document relapse. </t>
  </si>
  <si>
    <t>But no lost to follow-up?</t>
  </si>
  <si>
    <t>rK39</t>
  </si>
  <si>
    <t>No (but none tested positive)</t>
  </si>
  <si>
    <t>Only for the 16 patients with treatment failure</t>
  </si>
  <si>
    <t>No (but all tests negative)</t>
  </si>
  <si>
    <t xml:space="preserve">Indirectly defined - appears to be a clinical definition only. </t>
  </si>
  <si>
    <t>Indirectly defined</t>
  </si>
  <si>
    <t>Main conclusion does not seem to be concordant with results of trial</t>
  </si>
  <si>
    <t>Protocol only, but outcomes are clear and consistent</t>
  </si>
  <si>
    <t>Rijal 2010(A)</t>
  </si>
  <si>
    <t>Rijal 2003</t>
  </si>
  <si>
    <t>Sundar 2008(A)</t>
  </si>
  <si>
    <t>Sundar 2009</t>
  </si>
  <si>
    <t>Koirala 2003</t>
  </si>
  <si>
    <t>Chakraborty 2008</t>
  </si>
  <si>
    <t>Rijal 2010(B)</t>
  </si>
  <si>
    <t>Sundar 2014</t>
  </si>
  <si>
    <t>Bhattacharya 2007</t>
  </si>
  <si>
    <t>Sundar 2010</t>
  </si>
  <si>
    <t>Pandey 2017</t>
  </si>
  <si>
    <t>Sundar 2011</t>
  </si>
  <si>
    <t>Das 2009</t>
  </si>
  <si>
    <t>Pandey 2016</t>
  </si>
  <si>
    <t>Sundar 2008(B)</t>
  </si>
  <si>
    <t>Sundar 2015</t>
  </si>
  <si>
    <t>Sundar 2019</t>
  </si>
  <si>
    <t>Sundar 2007</t>
  </si>
  <si>
    <t>Sundar 2012</t>
  </si>
  <si>
    <t>exclude</t>
  </si>
  <si>
    <t>Ritmeijer 2006</t>
  </si>
  <si>
    <t>Veeken 2000</t>
  </si>
  <si>
    <t>Ritmeijer 2001</t>
  </si>
  <si>
    <t>PMID</t>
  </si>
  <si>
    <t>[i] ‘Typical signs &amp; symptoms’ is provided when the authors refer more broadly to the signs and symptoms of visceral leishmaniasis, without further clarification</t>
  </si>
  <si>
    <t>Age (years)</t>
  </si>
  <si>
    <t>Parasitological criteria(ii)</t>
  </si>
  <si>
    <t>Clinical criteria (i)</t>
  </si>
  <si>
    <t>[ii] ‘BM/splenic aspirate’ refers to bone marrow or splenic aspirate; ‘rK39’ refers to the rapid diagnostic test;</t>
  </si>
  <si>
    <t>Prior VL</t>
  </si>
  <si>
    <t>Inclusion criteria</t>
  </si>
  <si>
    <t>Who underwent HIV testing</t>
  </si>
  <si>
    <t xml:space="preserve">Hb (g/dL) </t>
  </si>
  <si>
    <t>Platelets (x 10^9/L)</t>
  </si>
  <si>
    <t>WBC (x10^9/L)</t>
  </si>
  <si>
    <t>Clotting (prothrombin time, seconds above control)</t>
  </si>
  <si>
    <t>Renal function</t>
  </si>
  <si>
    <t>Liver function tests</t>
  </si>
  <si>
    <t>Pregnancy related</t>
  </si>
  <si>
    <t>Other conditions</t>
  </si>
  <si>
    <t>≥4</t>
  </si>
  <si>
    <t>4-60</t>
  </si>
  <si>
    <t>4-12</t>
  </si>
  <si>
    <t>all</t>
  </si>
  <si>
    <t>≥15</t>
  </si>
  <si>
    <t>7-60</t>
  </si>
  <si>
    <t>HIV</t>
  </si>
  <si>
    <t>Other exclusion criteria</t>
  </si>
  <si>
    <t>Timing of initial cure assessment(s) (days from treatment initiation)</t>
  </si>
  <si>
    <t>Tissue aspirate performed in all patients?</t>
  </si>
  <si>
    <t>Timing of repeat aspirate, if performed (days from treatment initiation)</t>
  </si>
  <si>
    <t>Tissue aspirate grading method</t>
  </si>
  <si>
    <t>Clinical criteria (iii)</t>
  </si>
  <si>
    <t>[iii] ‘Clinical improvement’ is listed when the authors refer broadly to the improvement of clinical symptoms without further qualification</t>
  </si>
  <si>
    <t>Initial cure</t>
  </si>
  <si>
    <t>Study participants included in model</t>
  </si>
  <si>
    <t>Relapse</t>
  </si>
  <si>
    <t>Relap</t>
  </si>
  <si>
    <t>Relapse defined (iv)</t>
  </si>
  <si>
    <t>Relapse definition (where referenced in protocol or publication)</t>
  </si>
  <si>
    <t>Tissue aspirate performed in all relapses?</t>
  </si>
  <si>
    <t>Relapse confirmed with tissue aspirate on contributed dataset?</t>
  </si>
  <si>
    <t>Study</t>
  </si>
  <si>
    <t xml:space="preserve">Fever and splenomegaly
</t>
  </si>
  <si>
    <t>Spleen, lymph node, or bone marrow tissue aspirates</t>
  </si>
  <si>
    <t>pregnant or lactating</t>
  </si>
  <si>
    <t>&lt; 5</t>
  </si>
  <si>
    <t>&lt; 40</t>
  </si>
  <si>
    <t>&lt; 1</t>
  </si>
  <si>
    <t>creatinine above the upper limit of normal</t>
  </si>
  <si>
    <t>liver function test values ≥ 3 times higher than upper limit of normal</t>
  </si>
  <si>
    <t xml:space="preserve">1) severe protein or caloric malnutrition (Kwashiokor or marasmus)
2) had previous hypersensitivity reaction to SSG or aminoglycosides
3) concomittant severe infection (except HIV)
4) other 'serious underlying (cardiac arrhythmia, renal, hepatic) disease'
5) conditions associated with splenomegaly, such as schistosomiasis
6) history of cardiac arrhythmia or an abnormal electrocardiogram (ECG)
7) clinical hearing loss
</t>
  </si>
  <si>
    <t>22 (PM); 31 (SSG); 18 (combination)</t>
  </si>
  <si>
    <t>"improvements in clinical and biological parameters"</t>
  </si>
  <si>
    <t>Relapse not explicitly referred to</t>
  </si>
  <si>
    <t>Liposomal amphotericin B (Gilead) according to national VL guidelines from participating countries</t>
  </si>
  <si>
    <t>Yes - routinely at 6 months, and to confirm treatment failure</t>
  </si>
  <si>
    <t>Indirectly</t>
  </si>
  <si>
    <t>Typical signs &amp; symptoms</t>
  </si>
  <si>
    <t>Bone aspirates</t>
  </si>
  <si>
    <t>creatinine above the upper limit of normal for age and gender</t>
  </si>
  <si>
    <t>22 (21D PM); 29 (28D PM)</t>
  </si>
  <si>
    <t>Recurrent signs/symptoms, or 6 months after EoT (all patients)</t>
  </si>
  <si>
    <t>"clinical and biological parameters, such as temperature, weight, spleen size and haemoglobin"</t>
  </si>
  <si>
    <t>Method of Chulay and Bryceson cited</t>
  </si>
  <si>
    <t>"Relapse at 3-month follow-up was defined as patients
with no parasites detected at EOT but in whom parasites were
seen at 3-month follow-up."; relapse at 6-months inferred from this definition</t>
  </si>
  <si>
    <t>Liposomal amphotericin B, 3 mg per kilogram daily for 10 days</t>
  </si>
  <si>
    <t>Repeat aspirate if initial aspirate positive?</t>
  </si>
  <si>
    <t>very severe VL'</t>
  </si>
  <si>
    <t>All patients</t>
  </si>
  <si>
    <t>Severe VL (patients who were very weak, unable to walk, bleeding, jaundiced, suffering from sepsis and other concomitant infections/illnesses)</t>
  </si>
  <si>
    <t>pregnancy or lactation</t>
  </si>
  <si>
    <t>Concomitant infections/illnesses, underlying chronic disease such as severe cardiac, pulmonary, renal, or hepatic impairment; known alcohol abuse; concomitant acute drug usage for malaria and bacterial infection; pneumonia within last 7 days; known hypersensitivity to AmBisomeH or amphotericin B; any other condition which may invalidate the trial</t>
  </si>
  <si>
    <t>Spleen, bone marrow tissue aspirates</t>
  </si>
  <si>
    <t>acute, symptomatic VL'; &gt;2 weeks fever</t>
  </si>
  <si>
    <t>&lt; 4</t>
  </si>
  <si>
    <t>For patients with detectable parasites at initial cure assessment, clinical and biological assessments were used, in addition to parasitological results, to ascertain the need for rescue treatment.. at the discretion of the treatment clinician, according to protocol'</t>
  </si>
  <si>
    <t>Relapse not explicitly referred to (but inferred from lack of final cure)</t>
  </si>
  <si>
    <t>Yes - routinely at 6 months, and to confirm need for rescue treatment after treatment</t>
  </si>
  <si>
    <t>Khalil 2014 [AMBI 0106]</t>
  </si>
  <si>
    <t>"primary, non-severe VL"; able to comply with the study protocol; body weight of &lt;30 kg</t>
  </si>
  <si>
    <t>Severe malnutrition (defined as a weight-for-height z-score of &lt; -3 on WHO reference curves if under 5, or a z-score of &lt; -3 on BMI-for-age WHO reference curves if aged 5-12 years; positive HIV; previous history of hypersensitivity to miltefosine; concomitant severe infection or any other serious underlying disease; any condition associated with splenomegaly, such as schistosomiasis; had reached menarche (female patients)</t>
  </si>
  <si>
    <t>reached menarche</t>
  </si>
  <si>
    <t xml:space="preserve">&lt; 40 </t>
  </si>
  <si>
    <t>blood alanine-transferase and aspartate transferase levels &gt;3-times above upper limit of normal range; blood bilirubin levels &gt;1.5-times greater than upper limit of normal range</t>
  </si>
  <si>
    <t>serum creatinine levels above upper limit of normal range</t>
  </si>
  <si>
    <t>Severe VL (jaundice, bleeding), relapsed VL, 'unable to comply with study protocol'</t>
  </si>
  <si>
    <t>Spleen aspirates (and under specific circumstances, bone marrow aspirates)</t>
  </si>
  <si>
    <t>"absence of clinical signs and symptoms of VL (patient afebrile, spleen size reduced, and improvement of symptoms and hematological parameters)"</t>
  </si>
  <si>
    <t>Follow-up (after EoT)</t>
  </si>
  <si>
    <t>3, 6 months</t>
  </si>
  <si>
    <t>56, 210 days (~1, 6 months)</t>
  </si>
  <si>
    <t>Relapse not explicitly referred to (but inferred from definition of final cure): "absence of signs and symptoms of VL (no fever, reduced spleen size, hematological parameters recovered, and weight gained) and having not required any rescue treatment during the trial"</t>
  </si>
  <si>
    <t>Yes (but not routinely at 6 months)</t>
  </si>
  <si>
    <t>AmBisome; exact regimen not described</t>
  </si>
  <si>
    <t>Wasunna 2016 [LEAP 0208]</t>
  </si>
  <si>
    <t>Musa 2012 [LEAP 0104]</t>
  </si>
  <si>
    <t>Musa 2010 [LEAP 0104]</t>
  </si>
  <si>
    <t>Mbui 2019 [LEAP 0714]</t>
  </si>
  <si>
    <t>Hailu 2010 [LEAP 0104]</t>
  </si>
  <si>
    <t>ALT and AST more than 3 times the upper limit of the normal range</t>
  </si>
  <si>
    <t>severe protein and/or caloric malnutrition defined as kwashiorkor or marasmus in children and BMI &lt;15 in adults; previous history of hypersensitivity reaction to SSG or amphotericin B; concomitant severe infection such as TB or other serious underlying disease which would preclude evaluation of patients response to the study medication; other conditions associated with splenomegaly such as schistosomiasis; previous history of cardiac arrhythmia or an abnormal ECG; major surgical intervention within two weeks prior to enrolment</t>
  </si>
  <si>
    <t>females of child bearing age were also excluded</t>
  </si>
  <si>
    <t>All patients (inferred)</t>
  </si>
  <si>
    <t>"Patients were offered counseling and testing for HIV in accordance to national guidelines, though this was not a prerequisite to inclusion"</t>
  </si>
  <si>
    <t>VL treatment in preceding 6 months</t>
  </si>
  <si>
    <t>standard logarithmic criteria'</t>
  </si>
  <si>
    <t>"All patients were offered counseling and screening for HIV" - only patients with negative tests were included</t>
  </si>
  <si>
    <t xml:space="preserve">≥1:6400 titre of antibodies against Leishmania by the Direct Agglutination Test (and a subsequent response to antimonial treatment); or by demonstration of Leishmania on aspirates of spleen or lymph node. </t>
  </si>
  <si>
    <t>In case of a borderline DAT titre of 1:400 to1:6400, aspiration of an inguinal lymph node or spleen was performed. In acutely ill patients, both DAT and aspiration were performed on the same day. If the results were negative but the clinical suspicion of kala-azar remained high, the DAT and/or aspiration were repeated</t>
  </si>
  <si>
    <t>Any patients with previous VL treatment</t>
  </si>
  <si>
    <t>Nomadic patients</t>
  </si>
  <si>
    <t>fever for more than two weeks (with exclusion of malaria), in combination with either splenomegaly or wasting. Including severe disease.</t>
  </si>
  <si>
    <t>Weekly until 2 x negative</t>
  </si>
  <si>
    <t xml:space="preserve">Yes ( +/- 3 months if clinical and/or biological parameters suggestive of treatment failure) </t>
  </si>
  <si>
    <t>Clinical symptoms of VL with positive aspirate</t>
  </si>
  <si>
    <t>"clinically well"</t>
  </si>
  <si>
    <t xml:space="preserve">High titre Leishmaniu Direct Agglutination Test (DAT; titre ≥ 1 : 6400). In cases with a borderline (1 : 800- 1 : 6400) or negative DAT (~1 : 800), splenic aspiration was performed. </t>
  </si>
  <si>
    <t>Given the harsh field conditions with failures in the cold chain and DAT antigen supply, the clinicians sometimes treated patients on clinical grounds, without parasitological or DAT confirmation.</t>
  </si>
  <si>
    <t>No (only if splenomegaly)</t>
  </si>
  <si>
    <t>patient’s fever had subsided, the spleen was smaller, and weight was being regained.</t>
  </si>
  <si>
    <t>Routine aspirate at 6 months?</t>
  </si>
  <si>
    <t>"Potentially eligible patients were only excluded if they had such severe comorbidity that they were considered to be likely to die during the month’s treatment"</t>
  </si>
  <si>
    <t>a history of fever for ≥2 weeks (with malaria excluded) in combination with wasting, and either splenomegaly or lymphadenopathy</t>
  </si>
  <si>
    <t>"...confirmed by a high titer leishmania direct agglutination test (DAT [Royal Tropical Institute]; titer 1:6400). In patients with an intermediary DAT titer (1:800–1:3200), splenic or lymph node aspiration was performed, and VL was confirmed by microscopic examination</t>
  </si>
  <si>
    <t>Persons with suspected VL with a negative DAT titer ( 1:400) were evaluated for alternative illnesses and were retested if signs and symptoms persisted. Patients with previous antileishmanial treatment were only admitted if they had a positive aspirate result.</t>
  </si>
  <si>
    <t>27 - 30</t>
  </si>
  <si>
    <t>No (only if splenomegaly or lymphadenopathy)</t>
  </si>
  <si>
    <t>clinical cure alone [clearance of fever, in combination with spleen regression, increased hemoglobin, or weight gain] for a patient for whom a TOC aspirate could not be performed)</t>
  </si>
  <si>
    <t>6 months (partly passive)</t>
  </si>
  <si>
    <t xml:space="preserve"> clinical symptoms of infection with parasitological confirmation within the 6-months follow-up</t>
  </si>
  <si>
    <t>56 (and then received treatment if positive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</si>
</sst>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2"/>
      <color theme="1"/>
      <name val="Aptos Narrow"/>
      <family val="2"/>
      <scheme val="minor"/>
    </font>
    <font>
      <b/>
      <sz val="11"/>
      <color rgb="FF000000"/>
      <name val="Calibri"/>
      <family val="2"/>
    </font>
    <font>
      <sz val="11"/>
      <color rgb="FF000000"/>
      <name val="Calibri"/>
      <family val="2"/>
    </font>
    <font>
      <u/>
      <sz val="11"/>
      <color rgb="FF0563C1"/>
      <name val="Calibri"/>
      <family val="2"/>
    </font>
    <font>
      <u/>
      <sz val="12"/>
      <color theme="10"/>
      <name val="Aptos Narrow"/>
      <family val="2"/>
      <scheme val="minor"/>
    </font>
    <font>
      <b/>
      <sz val="12"/>
      <color theme="0"/>
      <name val="Aptos Narrow"/>
      <family val="2"/>
      <scheme val="minor"/>
    </font>
    <font>
      <sz val="12"/>
      <name val="Aptos Narrow"/>
      <family val="2"/>
      <scheme val="minor"/>
    </font>
    <font>
      <sz val="8"/>
      <name val="Aptos Narrow"/>
      <family val="2"/>
      <scheme val="minor"/>
    </font>
    <font>
      <b/>
      <sz val="12"/>
      <color theme="1"/>
      <name val="Aptos Narrow"/>
      <family val="2"/>
      <scheme val="minor"/>
    </font>
    <font>
      <i/>
      <sz val="12"/>
      <color theme="1"/>
      <name val="Aptos Narrow"/>
      <family val="2"/>
      <scheme val="minor"/>
    </font>
    <font>
      <sz val="12"/>
      <color rgb="FF000000"/>
      <name val="Aptos Narrow"/>
      <family val="2"/>
      <scheme val="minor"/>
    </font>
    <font>
      <sz val="12"/>
      <color theme="1" tint="4.9989318521683403E-2"/>
      <name val="Aptos Narrow"/>
      <family val="2"/>
      <scheme val="minor"/>
    </font>
    <font>
      <sz val="12"/>
      <color theme="1"/>
      <name val="Aptos Narrow"/>
      <scheme val="minor"/>
    </font>
    <font>
      <sz val="12"/>
      <name val="Aptos Narrow"/>
      <scheme val="minor"/>
    </font>
    <font>
      <u/>
      <sz val="12"/>
      <color theme="1"/>
      <name val="Aptos Narrow"/>
      <family val="2"/>
      <scheme val="minor"/>
    </font>
    <font>
      <b/>
      <sz val="12"/>
      <color theme="1"/>
      <name val="Aptos Narrow"/>
      <scheme val="minor"/>
    </font>
    <font>
      <sz val="10"/>
      <color theme="1"/>
      <name val="Times New Roman"/>
      <family val="1"/>
    </font>
  </fonts>
  <fills count="18">
    <fill>
      <patternFill patternType="none"/>
    </fill>
    <fill>
      <patternFill patternType="gray125"/>
    </fill>
    <fill>
      <patternFill patternType="solid">
        <fgColor rgb="FFFFF2CC"/>
        <bgColor rgb="FF000000"/>
      </patternFill>
    </fill>
    <fill>
      <patternFill patternType="solid">
        <fgColor rgb="FFE2EFDA"/>
        <bgColor rgb="FF000000"/>
      </patternFill>
    </fill>
    <fill>
      <patternFill patternType="solid">
        <fgColor rgb="FFDDEBF7"/>
        <bgColor rgb="FF000000"/>
      </patternFill>
    </fill>
    <fill>
      <patternFill patternType="solid">
        <fgColor rgb="FFFCE4D6"/>
        <bgColor rgb="FF000000"/>
      </patternFill>
    </fill>
    <fill>
      <patternFill patternType="solid">
        <fgColor theme="4"/>
        <bgColor theme="4"/>
      </patternFill>
    </fill>
    <fill>
      <patternFill patternType="solid">
        <fgColor them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C0E6F5"/>
        <bgColor rgb="FFC0E6F5"/>
      </patternFill>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0"/>
        <bgColor indexed="64"/>
      </patternFill>
    </fill>
    <fill>
      <patternFill patternType="solid">
        <fgColor theme="4"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ck">
        <color indexed="64"/>
      </right>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ck">
        <color indexed="64"/>
      </left>
      <right/>
      <top style="thick">
        <color indexed="64"/>
      </top>
      <bottom/>
      <diagonal/>
    </border>
    <border>
      <left/>
      <right/>
      <top style="thick">
        <color indexed="64"/>
      </top>
      <bottom/>
      <diagonal/>
    </border>
    <border>
      <left/>
      <right style="thick">
        <color rgb="FF000000"/>
      </right>
      <top style="thick">
        <color indexed="64"/>
      </top>
      <bottom/>
      <diagonal/>
    </border>
    <border>
      <left style="thick">
        <color rgb="FF000000"/>
      </left>
      <right/>
      <top style="thick">
        <color indexed="64"/>
      </top>
      <bottom/>
      <diagonal/>
    </border>
    <border>
      <left/>
      <right/>
      <top style="thin">
        <color rgb="FF44B3E1"/>
      </top>
      <bottom style="thin">
        <color rgb="FF44B3E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9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164" fontId="2" fillId="0" borderId="10"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4" fillId="0" borderId="10" xfId="1" applyBorder="1" applyAlignment="1">
      <alignment horizontal="center" vertical="center" wrapText="1"/>
    </xf>
    <xf numFmtId="0" fontId="4" fillId="0" borderId="2" xfId="1" applyBorder="1" applyAlignment="1">
      <alignment horizontal="center" vertical="center" wrapText="1"/>
    </xf>
    <xf numFmtId="14" fontId="2" fillId="0" borderId="10" xfId="0" applyNumberFormat="1" applyFont="1" applyBorder="1" applyAlignment="1">
      <alignment horizontal="center" vertical="center" wrapText="1"/>
    </xf>
    <xf numFmtId="0" fontId="1" fillId="2" borderId="4"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49" fontId="2" fillId="0" borderId="10" xfId="0" applyNumberFormat="1" applyFont="1" applyBorder="1" applyAlignment="1">
      <alignment horizontal="center" vertical="center" wrapText="1"/>
    </xf>
    <xf numFmtId="0" fontId="4" fillId="0" borderId="0" xfId="1" applyBorder="1" applyAlignment="1">
      <alignment horizontal="left" vertical="center" wrapText="1" indent="1"/>
    </xf>
    <xf numFmtId="164" fontId="2" fillId="0" borderId="6" xfId="0" applyNumberFormat="1"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8" borderId="0" xfId="0" applyFill="1" applyAlignment="1">
      <alignment horizontal="left" vertical="top"/>
    </xf>
    <xf numFmtId="0" fontId="6" fillId="9" borderId="0" xfId="0" applyFont="1" applyFill="1" applyAlignment="1">
      <alignment horizontal="left" vertical="top"/>
    </xf>
    <xf numFmtId="0" fontId="0" fillId="10" borderId="0" xfId="0" applyFill="1" applyAlignment="1">
      <alignment horizontal="left" vertical="top"/>
    </xf>
    <xf numFmtId="0" fontId="0" fillId="11" borderId="0" xfId="0" applyFill="1" applyAlignment="1">
      <alignment horizontal="left" vertical="top"/>
    </xf>
    <xf numFmtId="0" fontId="8" fillId="0" borderId="0" xfId="0" applyFont="1" applyAlignment="1">
      <alignment horizontal="left" vertical="top"/>
    </xf>
    <xf numFmtId="0" fontId="0" fillId="10" borderId="0" xfId="0" applyFill="1" applyAlignment="1">
      <alignment horizontal="left" vertical="top" wrapText="1"/>
    </xf>
    <xf numFmtId="49" fontId="0" fillId="0" borderId="0" xfId="0" applyNumberFormat="1"/>
    <xf numFmtId="0" fontId="0" fillId="12" borderId="0" xfId="0" applyFill="1"/>
    <xf numFmtId="0" fontId="0" fillId="8" borderId="0" xfId="0" applyFill="1"/>
    <xf numFmtId="49" fontId="10" fillId="0" borderId="19" xfId="0" applyNumberFormat="1" applyFont="1" applyBorder="1"/>
    <xf numFmtId="49" fontId="10" fillId="13" borderId="19" xfId="0" applyNumberFormat="1" applyFont="1" applyFill="1" applyBorder="1"/>
    <xf numFmtId="17" fontId="0" fillId="0" borderId="0" xfId="0" applyNumberFormat="1" applyAlignment="1">
      <alignment horizontal="left" vertical="top" wrapText="1"/>
    </xf>
    <xf numFmtId="49" fontId="0" fillId="0" borderId="20" xfId="0" applyNumberFormat="1" applyBorder="1"/>
    <xf numFmtId="49" fontId="0" fillId="0" borderId="21" xfId="0" applyNumberFormat="1" applyBorder="1"/>
    <xf numFmtId="0" fontId="11" fillId="7" borderId="0" xfId="0" applyFont="1" applyFill="1" applyAlignment="1">
      <alignment horizontal="left" vertical="top" wrapText="1"/>
    </xf>
    <xf numFmtId="0" fontId="11" fillId="7" borderId="0" xfId="0" applyFont="1" applyFill="1" applyAlignment="1">
      <alignment horizontal="left" vertical="top"/>
    </xf>
    <xf numFmtId="0" fontId="8" fillId="10" borderId="0" xfId="0" applyFont="1" applyFill="1" applyAlignment="1">
      <alignment horizontal="left" vertical="top" wrapText="1"/>
    </xf>
    <xf numFmtId="0" fontId="0" fillId="0" borderId="0" xfId="0" applyAlignment="1">
      <alignment wrapText="1"/>
    </xf>
    <xf numFmtId="0" fontId="5" fillId="6" borderId="22" xfId="0" applyFont="1" applyFill="1" applyBorder="1" applyAlignment="1">
      <alignment wrapText="1"/>
    </xf>
    <xf numFmtId="0" fontId="5" fillId="6" borderId="20" xfId="0" applyFont="1" applyFill="1" applyBorder="1" applyAlignment="1">
      <alignment wrapText="1"/>
    </xf>
    <xf numFmtId="49" fontId="0" fillId="0" borderId="22" xfId="0" applyNumberFormat="1" applyBorder="1" applyAlignment="1">
      <alignment wrapText="1"/>
    </xf>
    <xf numFmtId="49" fontId="0" fillId="14" borderId="20" xfId="0" applyNumberFormat="1" applyFill="1" applyBorder="1" applyAlignment="1">
      <alignment wrapText="1"/>
    </xf>
    <xf numFmtId="0" fontId="0" fillId="0" borderId="0" xfId="0" quotePrefix="1" applyAlignment="1">
      <alignment horizontal="left" vertical="top" wrapText="1"/>
    </xf>
    <xf numFmtId="49" fontId="0" fillId="0" borderId="0" xfId="0" applyNumberFormat="1" applyAlignment="1">
      <alignment horizontal="left" vertical="top" wrapText="1"/>
    </xf>
    <xf numFmtId="49" fontId="0" fillId="10" borderId="0" xfId="0" applyNumberFormat="1" applyFill="1" applyAlignment="1">
      <alignment horizontal="left" vertical="top" wrapText="1"/>
    </xf>
    <xf numFmtId="0" fontId="15" fillId="0" borderId="0" xfId="0" applyFont="1" applyAlignment="1">
      <alignment horizontal="left" vertical="top" wrapText="1"/>
    </xf>
    <xf numFmtId="49" fontId="0" fillId="15" borderId="0" xfId="0" applyNumberFormat="1" applyFill="1" applyAlignment="1">
      <alignment horizontal="left" vertical="top" wrapText="1"/>
    </xf>
    <xf numFmtId="49" fontId="13" fillId="10" borderId="0" xfId="0" applyNumberFormat="1" applyFont="1" applyFill="1" applyAlignment="1">
      <alignment horizontal="left" vertical="top" wrapText="1"/>
    </xf>
    <xf numFmtId="49" fontId="6" fillId="10" borderId="0" xfId="0" applyNumberFormat="1" applyFont="1" applyFill="1" applyAlignment="1">
      <alignment horizontal="left" vertical="top" wrapText="1"/>
    </xf>
    <xf numFmtId="49" fontId="6" fillId="11" borderId="0" xfId="0" applyNumberFormat="1" applyFont="1" applyFill="1" applyAlignment="1">
      <alignment horizontal="left" vertical="top" wrapText="1"/>
    </xf>
    <xf numFmtId="49" fontId="6" fillId="0" borderId="0" xfId="0" applyNumberFormat="1" applyFont="1" applyAlignment="1">
      <alignment horizontal="left" vertical="top" wrapText="1"/>
    </xf>
    <xf numFmtId="49" fontId="0" fillId="0" borderId="0" xfId="0" applyNumberFormat="1" applyAlignment="1">
      <alignment horizontal="left" vertical="top"/>
    </xf>
    <xf numFmtId="49" fontId="16" fillId="0" borderId="0" xfId="0" applyNumberFormat="1" applyFont="1" applyAlignment="1">
      <alignment horizontal="left" vertical="center" indent="6"/>
    </xf>
    <xf numFmtId="49" fontId="0" fillId="0" borderId="0" xfId="0" quotePrefix="1" applyNumberFormat="1" applyAlignment="1">
      <alignment horizontal="left" vertical="top" wrapText="1"/>
    </xf>
    <xf numFmtId="49" fontId="12" fillId="0" borderId="0" xfId="0" applyNumberFormat="1" applyFont="1" applyAlignment="1">
      <alignment horizontal="left" vertical="top" wrapText="1"/>
    </xf>
    <xf numFmtId="49" fontId="0" fillId="16" borderId="0" xfId="0" applyNumberFormat="1" applyFill="1" applyAlignment="1">
      <alignment horizontal="left" vertical="top" wrapText="1"/>
    </xf>
    <xf numFmtId="49" fontId="15" fillId="15" borderId="0" xfId="0" applyNumberFormat="1" applyFont="1" applyFill="1" applyAlignment="1">
      <alignment horizontal="left" vertical="top" wrapText="1"/>
    </xf>
    <xf numFmtId="49" fontId="15" fillId="10" borderId="0" xfId="0" applyNumberFormat="1" applyFont="1" applyFill="1" applyAlignment="1">
      <alignment horizontal="left" vertical="top" wrapText="1"/>
    </xf>
    <xf numFmtId="49" fontId="0" fillId="11" borderId="0" xfId="0" applyNumberFormat="1" applyFill="1" applyAlignment="1">
      <alignment horizontal="left" vertical="top" wrapText="1"/>
    </xf>
    <xf numFmtId="49" fontId="0" fillId="17" borderId="0" xfId="0" applyNumberFormat="1" applyFill="1" applyAlignment="1">
      <alignment horizontal="left" vertical="top" wrapText="1"/>
    </xf>
    <xf numFmtId="49" fontId="15" fillId="8" borderId="0" xfId="0" applyNumberFormat="1" applyFont="1" applyFill="1" applyAlignment="1">
      <alignment horizontal="left" vertical="top" wrapText="1"/>
    </xf>
    <xf numFmtId="49" fontId="0" fillId="8" borderId="0" xfId="0" applyNumberFormat="1" applyFill="1" applyAlignment="1">
      <alignment horizontal="left" vertical="top" wrapText="1"/>
    </xf>
    <xf numFmtId="49" fontId="6" fillId="8" borderId="0" xfId="0" applyNumberFormat="1" applyFont="1" applyFill="1" applyAlignment="1">
      <alignment horizontal="left" vertical="top"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3" borderId="18"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7" xfId="0" applyFont="1" applyFill="1" applyBorder="1" applyAlignment="1">
      <alignment horizontal="center" vertical="center"/>
    </xf>
  </cellXfs>
  <cellStyles count="2">
    <cellStyle name="Hyperlink" xfId="1" builtinId="8"/>
    <cellStyle name="Normal" xfId="0" builtinId="0"/>
  </cellStyles>
  <dxfs count="181">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ck">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ck">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ck">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border outline="0">
        <left style="thick">
          <color indexed="64"/>
        </left>
        <right style="thick">
          <color indexed="64"/>
        </right>
        <top style="thin">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rgb="FF000000"/>
          <bgColor rgb="FFFCE4D6"/>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1" indent="0" justifyLastLine="0" shrinkToFit="0" readingOrder="0"/>
    </dxf>
    <dxf>
      <alignment horizontal="left" vertical="top" textRotation="0" indent="0" justifyLastLine="0" shrinkToFit="0" readingOrder="0"/>
    </dxf>
    <dxf>
      <numFmt numFmtId="30" formatCode="@"/>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945240</xdr:colOff>
      <xdr:row>25</xdr:row>
      <xdr:rowOff>360</xdr:rowOff>
    </xdr:from>
    <xdr:to>
      <xdr:col>1</xdr:col>
      <xdr:colOff>945600</xdr:colOff>
      <xdr:row>62</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50B3B6B-4128-C3C3-2EDB-1339E2A64F1D}"/>
                </a:ext>
              </a:extLst>
            </xdr14:cNvPr>
            <xdr14:cNvContentPartPr/>
          </xdr14:nvContentPartPr>
          <xdr14:nvPr macro=""/>
          <xdr14:xfrm>
            <a:off x="1783440" y="27210068"/>
            <a:ext cx="360" cy="360"/>
          </xdr14:xfrm>
        </xdr:contentPart>
      </mc:Choice>
      <mc:Fallback xmlns="">
        <xdr:pic>
          <xdr:nvPicPr>
            <xdr:cNvPr id="2" name="Ink 1">
              <a:extLst>
                <a:ext uri="{FF2B5EF4-FFF2-40B4-BE49-F238E27FC236}">
                  <a16:creationId xmlns:a16="http://schemas.microsoft.com/office/drawing/2014/main" id="{850B3B6B-4128-C3C3-2EDB-1339E2A64F1D}"/>
                </a:ext>
              </a:extLst>
            </xdr:cNvPr>
            <xdr:cNvPicPr/>
          </xdr:nvPicPr>
          <xdr:blipFill>
            <a:blip xmlns:r="http://schemas.openxmlformats.org/officeDocument/2006/relationships" r:embed="rId2"/>
            <a:stretch>
              <a:fillRect/>
            </a:stretch>
          </xdr:blipFill>
          <xdr:spPr>
            <a:xfrm>
              <a:off x="1774440" y="27201428"/>
              <a:ext cx="18000" cy="18000"/>
            </a:xfrm>
            <a:prstGeom prst="rect">
              <a:avLst/>
            </a:prstGeom>
          </xdr:spPr>
        </xdr:pic>
      </mc:Fallback>
    </mc:AlternateContent>
    <xdr:clientData/>
  </xdr:twoCellAnchor>
  <xdr:twoCellAnchor editAs="oneCell">
    <xdr:from>
      <xdr:col>1</xdr:col>
      <xdr:colOff>940200</xdr:colOff>
      <xdr:row>25</xdr:row>
      <xdr:rowOff>360</xdr:rowOff>
    </xdr:from>
    <xdr:to>
      <xdr:col>1</xdr:col>
      <xdr:colOff>940560</xdr:colOff>
      <xdr:row>62</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8EF785D-E415-A45C-BFAF-3BCD8A40F7DD}"/>
                </a:ext>
              </a:extLst>
            </xdr14:cNvPr>
            <xdr14:cNvContentPartPr/>
          </xdr14:nvContentPartPr>
          <xdr14:nvPr macro=""/>
          <xdr14:xfrm>
            <a:off x="1778400" y="27257588"/>
            <a:ext cx="360" cy="360"/>
          </xdr14:xfrm>
        </xdr:contentPart>
      </mc:Choice>
      <mc:Fallback xmlns="">
        <xdr:pic>
          <xdr:nvPicPr>
            <xdr:cNvPr id="3" name="Ink 2">
              <a:extLst>
                <a:ext uri="{FF2B5EF4-FFF2-40B4-BE49-F238E27FC236}">
                  <a16:creationId xmlns:a16="http://schemas.microsoft.com/office/drawing/2014/main" id="{C8EF785D-E415-A45C-BFAF-3BCD8A40F7DD}"/>
                </a:ext>
              </a:extLst>
            </xdr:cNvPr>
            <xdr:cNvPicPr/>
          </xdr:nvPicPr>
          <xdr:blipFill>
            <a:blip xmlns:r="http://schemas.openxmlformats.org/officeDocument/2006/relationships" r:embed="rId2"/>
            <a:stretch>
              <a:fillRect/>
            </a:stretch>
          </xdr:blipFill>
          <xdr:spPr>
            <a:xfrm>
              <a:off x="1769760" y="27248948"/>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04T19:20:45.616"/>
    </inkml:context>
    <inkml:brush xml:id="br0">
      <inkml:brushProperty name="width" value="0.05" units="cm"/>
      <inkml:brushProperty name="height" value="0.05" units="cm"/>
    </inkml:brush>
  </inkml:definitions>
  <inkml:trace contextRef="#ctx0" brushRef="#br0">0 1 32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04T19:20:46.863"/>
    </inkml:context>
    <inkml:brush xml:id="br0">
      <inkml:brushProperty name="width" value="0.05" units="cm"/>
      <inkml:brushProperty name="height" value="0.05" units="cm"/>
    </inkml:brush>
  </inkml:definitions>
  <inkml:trace contextRef="#ctx0" brushRef="#br0">1 1 32</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82A9490-0422-274B-B93C-D5FE813CDB75}" name="Design" displayName="Design" ref="C2:AR33" totalsRowShown="0" headerRowDxfId="180" dataDxfId="179">
  <autoFilter ref="C2:AR33" xr:uid="{A82A9490-0422-274B-B93C-D5FE813CDB75}">
    <filterColumn colId="0">
      <filters>
        <filter val="Hailu 2010"/>
        <filter val="Khalil 2014"/>
        <filter val="Mbui 2019"/>
        <filter val="Musa 2010"/>
        <filter val="Musa 2012"/>
        <filter val="Ritmeijer 2001"/>
        <filter val="Ritmeijer 2006"/>
        <filter val="Veeken 2000"/>
        <filter val="Wasunna 2016"/>
      </filters>
    </filterColumn>
  </autoFilter>
  <sortState xmlns:xlrd2="http://schemas.microsoft.com/office/spreadsheetml/2017/richdata2" ref="C25:AQ33">
    <sortCondition ref="C2:C33"/>
  </sortState>
  <tableColumns count="42">
    <tableColumn id="60" xr3:uid="{536E3CE9-E8FB-7A44-A271-330B87B4A7B9}" name="Study" dataDxfId="178"/>
    <tableColumn id="2" xr3:uid="{51DB2843-ACB8-1047-8D60-8EC559A97736}" name="PMID" dataDxfId="177"/>
    <tableColumn id="58" xr3:uid="{EBDDDEFB-D58B-D141-933D-6398B4A1F54A}" name="Protocol" dataDxfId="176"/>
    <tableColumn id="1" xr3:uid="{08991447-60CA-2C43-9820-E77D0D89F2D5}" name="Age (years)" dataDxfId="175"/>
    <tableColumn id="5" xr3:uid="{EA59B8AD-DE3D-8842-9331-C0D8084D63BC}" name="Sex" dataDxfId="174"/>
    <tableColumn id="3" xr3:uid="{B81AE188-9B2D-CE43-9349-9B64F40DBC80}" name="Clinical criteria (i)" dataDxfId="173"/>
    <tableColumn id="4" xr3:uid="{124CB806-C968-F648-A44F-3A3D0057B220}" name="Parasitological criteria(ii)" dataDxfId="172"/>
    <tableColumn id="6" xr3:uid="{1010DB15-C149-F94A-B5F4-0CC93E39DB29}" name="Other" dataDxfId="171"/>
    <tableColumn id="10" xr3:uid="{659A3894-F049-BC43-8E4B-1F22EB09063C}" name="HIV" dataDxfId="170"/>
    <tableColumn id="9" xr3:uid="{E80F125B-D33A-9D41-BBF4-6355448D6C2E}" name="Who underwent HIV testing" dataDxfId="169"/>
    <tableColumn id="50" xr3:uid="{278CCAEA-2B0E-114A-8030-72B8CFD7C1C6}" name="Prior VL" dataDxfId="168"/>
    <tableColumn id="48" xr3:uid="{8688E70B-EC10-6246-8560-E437ACA95A31}" name="Hb (g/dL) " dataDxfId="167"/>
    <tableColumn id="47" xr3:uid="{1C872024-3058-604C-8AEC-555AECDE83C7}" name="Platelets (x 10^9/L)" dataDxfId="166"/>
    <tableColumn id="46" xr3:uid="{14F86597-E2EA-174B-B9EE-9D55EEBCA0A2}" name="WBC (x10^9/L)" dataDxfId="165"/>
    <tableColumn id="65" xr3:uid="{A8B653CA-3EF8-B042-A3CB-46F7959FE36C}" name="Clotting (prothrombin time, seconds above control)" dataDxfId="164"/>
    <tableColumn id="45" xr3:uid="{FE5B50AD-E483-B648-987E-85E1209BA3E7}" name="Renal function" dataDxfId="163"/>
    <tableColumn id="53" xr3:uid="{C9A8F8CB-A8EB-F44A-A60C-65B305A33FD4}" name="Liver function tests" dataDxfId="162"/>
    <tableColumn id="54" xr3:uid="{82BB6A64-7C98-E247-B99A-E2BC03B7156A}" name="Pregnancy related" dataDxfId="161"/>
    <tableColumn id="55" xr3:uid="{C63B6A7F-C3D7-234D-A5B5-D9C9246EEDCB}" name="Other conditions" dataDxfId="160"/>
    <tableColumn id="57" xr3:uid="{16D08799-1C41-3440-B68F-204896C4A2E8}" name="Other exclusion criteria" dataDxfId="159"/>
    <tableColumn id="20" xr3:uid="{343E3607-5553-F94F-B550-2A693511E271}" name="Exclusion criteria" dataDxfId="158"/>
    <tableColumn id="21" xr3:uid="{07A5FB2E-CD2D-9941-A67E-6E444FD0B4BC}" name="Initial evaluation (day 0)" dataDxfId="157"/>
    <tableColumn id="22" xr3:uid="{CFE2DE66-7F85-2749-8EC2-DEB124EA4BA3}" name="Ongoing evaluation (day &gt; 0 to initial cure assessment)" dataDxfId="156"/>
    <tableColumn id="24" xr3:uid="{475ED6C3-2EC3-8149-9C7D-9FDCDEB90080}" name="Timing of initial cure assessment(s) (days from treatment initiation)" dataDxfId="155"/>
    <tableColumn id="25" xr3:uid="{26B4F561-AC0E-624F-9AFE-736F4F690D13}" name="Initial cure - timing - is this time after beginning treatment of after completing treatment?" dataDxfId="154"/>
    <tableColumn id="26" xr3:uid="{BAF4D481-048D-1842-919C-8042543C34C3}" name="Initial cure assessment - timing/definition comments" dataDxfId="153"/>
    <tableColumn id="38" xr3:uid="{714EFFFC-22FB-364A-9844-A20BF65651EF}" name="Tissue aspirate performed in all patients?" dataDxfId="152"/>
    <tableColumn id="27" xr3:uid="{9C278F6E-9CF7-CA43-84EF-B3B276016DC8}" name="Ongoing evaluation (&gt; initial cure assessment)" dataDxfId="151"/>
    <tableColumn id="34" xr3:uid="{D446F429-A5F8-E74A-BE48-B54A6C6D194B}" name="Repeat aspirate if initial aspirate positive?" dataDxfId="150"/>
    <tableColumn id="36" xr3:uid="{CAA190F5-B07C-E748-B981-163D52CECB17}" name="Timing of repeat aspirate, if performed (days from treatment initiation)" dataDxfId="149"/>
    <tableColumn id="40" xr3:uid="{FB992F22-A8EF-194A-9CD4-5BE4D7755F3D}" name="Clinical criteria (iii)" dataDxfId="148"/>
    <tableColumn id="66" xr3:uid="{72A264D4-6ADC-7D4A-8B32-C308BCA90DA4}" name="Tissue aspirate grading method" dataDxfId="147"/>
    <tableColumn id="44" xr3:uid="{885B6C19-8D33-4E40-BAC2-574DC82D4CF8}" name="Follow-up (after EoT)" dataDxfId="146"/>
    <tableColumn id="59" xr3:uid="{0D4F2729-7498-DB4D-9FF6-65C44E2D34A8}" name="Routine aspirate at 6 months?" dataDxfId="145"/>
    <tableColumn id="51" xr3:uid="{B848EAEA-F7F7-AA4C-B210-9AC4B47A64A2}" name="Relapse defined (iv)" dataDxfId="144"/>
    <tableColumn id="29" xr3:uid="{3B8A1550-4774-A845-B311-B6C4BCE39574}" name="Relapse definition (where referenced in protocol or publication)" dataDxfId="143"/>
    <tableColumn id="52" xr3:uid="{42A08A5A-F8A2-2F44-A40D-7F089025D6D0}" name="Tissue aspirate performed in all relapses?" dataDxfId="142"/>
    <tableColumn id="31" xr3:uid="{C393D19C-F091-3E4D-B644-BD0B5A356F34}" name="Relapse timing - is this time after beginning treatment or after completing treatment?" dataDxfId="141"/>
    <tableColumn id="56" xr3:uid="{560C73CD-788E-094E-831A-8F0FE15EBF3B}" name="Relapse confirmed with tissue aspirate on contributed dataset?" dataDxfId="140"/>
    <tableColumn id="33" xr3:uid="{A8FA89DB-92E7-D642-B653-51300EB5DF24}" name="Rescue treatment" dataDxfId="139"/>
    <tableColumn id="39" xr3:uid="{E76CFF01-78E0-49E7-8397-BF31296DCE0C}" name="Per protocol vs Intention to treat analyss" dataDxfId="138"/>
    <tableColumn id="43" xr3:uid="{4EC07151-9900-B34B-89CA-6FE4DF2F0D41}" name="Study participants included in model" dataDxfId="137"/>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6DD333F-F408-424C-B4AF-E8635C3F1F8B}" name="Outcome" displayName="Outcome" ref="B3:AL32" totalsRowShown="0" headerRowDxfId="136" dataDxfId="135">
  <autoFilter ref="B3:AL32" xr:uid="{86DD333F-F408-424C-B4AF-E8635C3F1F8B}">
    <filterColumn colId="0">
      <filters>
        <filter val="VQBODC"/>
      </filters>
    </filterColumn>
  </autoFilter>
  <sortState xmlns:xlrd2="http://schemas.microsoft.com/office/spreadsheetml/2017/richdata2" ref="B5:AL32">
    <sortCondition ref="C3:C32"/>
  </sortState>
  <tableColumns count="37">
    <tableColumn id="1" xr3:uid="{F1ED067E-654A-334C-90CA-467A44D5874C}" name="STUDYID" dataDxfId="134"/>
    <tableColumn id="10" xr3:uid="{4027BF14-EAA6-9C47-9D50-82BFA9179AFA}" name="Column1" dataDxfId="133"/>
    <tableColumn id="7" xr3:uid="{80EFDF68-8694-D346-BADD-E58C8617DD58}" name="Region" dataDxfId="132"/>
    <tableColumn id="2" xr3:uid="{C95329E2-883C-B34C-B8AA-60ECD9F76978}" name="Ref ID" dataDxfId="131"/>
    <tableColumn id="24" xr3:uid="{213420B5-FC63-460A-99FA-267E19BF6BCD}" name="Study Title" dataDxfId="130">
      <calculatedColumnFormula>_xlfn.XLOOKUP(Outcome[[#This Row],[Ref ID]],#REF!,#REF!, "-")</calculatedColumnFormula>
    </tableColumn>
    <tableColumn id="25" xr3:uid="{8A60C7BB-2F25-4B7E-9F96-D7DB4211B1C7}" name="First author" dataDxfId="129">
      <calculatedColumnFormula>_xlfn.XLOOKUP(Outcome[[#This Row],[Ref ID]],#REF!,#REF!, "-")</calculatedColumnFormula>
    </tableColumn>
    <tableColumn id="26" xr3:uid="{0472B350-A4B4-4F9A-B861-B79C2BF9E0DD}" name="Year published" dataDxfId="128">
      <calculatedColumnFormula>_xlfn.XLOOKUP(Outcome[[#This Row],[Ref ID]],#REF!,#REF!, "-")</calculatedColumnFormula>
    </tableColumn>
    <tableColumn id="16" xr3:uid="{6558AB97-ABC0-104A-9EEC-D1E3EB84F6D5}" name="Month first recruited" dataDxfId="127"/>
    <tableColumn id="3" xr3:uid="{9C336778-8933-5C4A-B60D-A99F760C65D5}" name="Year first recruited" dataDxfId="126"/>
    <tableColumn id="28" xr3:uid="{0393F6CA-CB5C-1344-B023-0C9C6EE954CC}" name="Month last patient recruited" dataDxfId="125"/>
    <tableColumn id="27" xr3:uid="{6893169E-EC5E-6D4E-9F25-44F49D0E3B2B}" name="Year last patient recruited" dataDxfId="124"/>
    <tableColumn id="18" xr3:uid="{BC8A19A3-5DC6-1747-9137-4CDC0AE01E99}" name="Month last follow up" dataDxfId="123"/>
    <tableColumn id="17" xr3:uid="{8B1CAC02-3B19-5948-8652-C4503D05B2FA}" name="Year last follow up" dataDxfId="122"/>
    <tableColumn id="23" xr3:uid="{5981B74E-9595-CD40-8586-28C63640EA7A}" name="Date comments"/>
    <tableColumn id="4" xr3:uid="{5A269914-26D4-D847-88EC-31BEA7B34C90}" name="Uncertainties in patient flow numbers - comments here" dataDxfId="121"/>
    <tableColumn id="30" xr3:uid="{2CD008B9-FC4C-4985-97F7-B06356CF183B}" name="Flow diagram presented?" dataDxfId="120"/>
    <tableColumn id="29" xr3:uid="{CFA8F8CB-BC31-49A3-BA7A-4355F9FF202C}" name="Number of enrolled patients" dataDxfId="119"/>
    <tableColumn id="8" xr3:uid="{6764C5B1-EF84-1340-BB08-D18B9714326D}" name="Number of patients achieving initial cure " dataDxfId="118"/>
    <tableColumn id="33" xr3:uid="{9ACC2878-9FEE-4822-B19F-4AD43831A278}" name="Number of patients not achieving initial cure" dataDxfId="117">
      <calculatedColumnFormula>Outcome[[#This Row],[Number of enrolled patients]]-#REF!</calculatedColumnFormula>
    </tableColumn>
    <tableColumn id="9" xr3:uid="{EE8BA864-C684-6C44-99DA-50D8CA626302}" name="Explanation for patients not assessed at initial cure " dataDxfId="116"/>
    <tableColumn id="32" xr3:uid="{179B0477-65CE-40A3-B2EE-9D3F3FDDCDA3}" name="Initial cure - are all patients accounted for?" dataDxfId="115"/>
    <tableColumn id="34" xr3:uid="{18D5ED98-A2C2-4227-BE04-165A8801604C}" name="Initial cure - other comments" dataDxfId="114"/>
    <tableColumn id="6" xr3:uid="{D7434E5E-62D1-5C4E-9A19-7B25CD9C395F}" name="Slow responders comment(s)" dataDxfId="113"/>
    <tableColumn id="11" xr3:uid="{B948F372-8509-7848-90D7-F062A2E28C1C}" name="Number of patients achieving definitive cure (i.e. of those achieving initial cure, also known as definitive cure)" dataDxfId="112"/>
    <tableColumn id="13" xr3:uid="{97F666EA-F19F-5B47-BC91-59A2BEF89FB7}" name="Number of patients achieving initial cure but not assessed at definitive cure assessment" dataDxfId="111"/>
    <tableColumn id="36" xr3:uid="{B9DC2C80-433B-450B-B3FB-C8B3613CF81F}" name="Explanation for patients not assessed at definitive cure assessment (+ comments)" dataDxfId="110"/>
    <tableColumn id="5" xr3:uid="{F98C1B61-3865-2E4C-901D-79B3D563FAA0}" name="Confidence in number of relapses" dataDxfId="109"/>
    <tableColumn id="12" xr3:uid="{C666AFC0-49FA-EA45-80AE-32DD544CCAF1}" name="Number of patients who relapsed between initial cure and definitive cure assessment" dataDxfId="108"/>
    <tableColumn id="38" xr3:uid="{90A64B8B-9F0F-4076-B72A-5776453208F0}" name="All patients accounted for between time of initial cure assessment and definitive cure assessment?" dataDxfId="107"/>
    <tableColumn id="14" xr3:uid="{F6B4B32F-1DF4-184E-A5A1-B2A73B47F0A7}" name="Deaths - overall how many deaths occurred" dataDxfId="106"/>
    <tableColumn id="37" xr3:uid="{ABAC6F7C-2DEE-4285-A79C-95A90351D229}" name="Deaths - number of deaths that occurred after recruitment and prior to time of initial cure assessment" dataDxfId="105"/>
    <tableColumn id="19" xr3:uid="{4475A274-ECFE-B34D-8DB7-17F9E34FC6A5}" name="Deaths - number of deaths that occurred after time of initial cure assessment and prior to 6 month assessment?" dataDxfId="104"/>
    <tableColumn id="39" xr3:uid="{3B557B20-87D7-452D-9944-C541DD6300D2}" name="Death - number of deaths that occurred at an unknown time" dataDxfId="103"/>
    <tableColumn id="20" xr3:uid="{42DFA9D0-1292-0048-B9A4-D5D8D15982BF}" name="Deaths - what are the causes (if reported)" dataDxfId="102"/>
    <tableColumn id="15" xr3:uid="{F6CF2A25-1B07-1343-967D-C5543D17D4EC}" name="12 months relapse - number of patients assessed" dataDxfId="101"/>
    <tableColumn id="21" xr3:uid="{4D71BBB8-D716-2E40-801D-B359307A106F}" name="Main conclusion of paper" dataDxfId="100"/>
    <tableColumn id="22" xr3:uid="{B4BD3233-EE1A-654F-9E50-9ED9A282B46E}" name="Overall comments" dataDxfId="9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1FE416-7E41-4B24-8457-6F8D2332CFE0}" name="Table7" displayName="Table7" ref="B6:AG26" totalsRowShown="0" headerRowDxfId="98" dataDxfId="97">
  <autoFilter ref="B6:AG26" xr:uid="{6B1FE416-7E41-4B24-8457-6F8D2332CFE0}"/>
  <tableColumns count="32">
    <tableColumn id="1" xr3:uid="{1C137079-103A-4023-AA97-029F4BA1759B}" name="STUDYID" dataDxfId="96"/>
    <tableColumn id="2" xr3:uid="{BB9A19EC-B6A0-4079-8914-06D5097EDE0E}" name="1.1 Were appropriate data sources used, e.g. cohort, RCT or nested case-control study data?" dataDxfId="95"/>
    <tableColumn id="3" xr3:uid="{E7E8ADED-12DC-48D7-A018-1B02F5BFA765}" name="1.2 Were all inclusions and exclusions of participants appropriate?`" dataDxfId="94"/>
    <tableColumn id="4" xr3:uid="{D84F61FD-BAD5-49C4-97AF-0642256709FC}" name="Risk (domain 1)" dataDxfId="93"/>
    <tableColumn id="5" xr3:uid="{D41498AF-FE9E-40EC-9604-FEB18CA1BCE9}" name="Rationale (domain 1)" dataDxfId="92"/>
    <tableColumn id="6" xr3:uid="{C8F3D30D-F5C2-4DAD-83DE-B14130D7B68C}" name="2.1 Were predictors defined and assessed in a similar way for all participants?" dataDxfId="91"/>
    <tableColumn id="7" xr3:uid="{CA945311-20DF-49D5-B5FF-6853374CD49A}" name="2.2 Were predictor assessments made without knowledge of outcome data?" dataDxfId="90"/>
    <tableColumn id="8" xr3:uid="{38A2B81B-3050-459E-9F3F-E02B436A9C8C}" name="2.3 Are all predictors available at the time the model is intended to be used?" dataDxfId="89"/>
    <tableColumn id="9" xr3:uid="{C2563404-A3A3-41D7-B467-EA4D976CD700}" name="Risk (domain 2)" dataDxfId="88"/>
    <tableColumn id="10" xr3:uid="{5B5C948E-932E-4FC3-8EAE-7020973FA755}" name="Rationale (domain 2)" dataDxfId="87"/>
    <tableColumn id="11" xr3:uid="{E8C9E764-A0E8-4EF1-B999-4D7113700AE7}" name="3.1 Was the outcome determined appropriately?" dataDxfId="86"/>
    <tableColumn id="12" xr3:uid="{D11233EA-BED0-4B96-BEC5-3AB9E780C878}" name="3.2 Was a pre-specified or standard outcome definition used?" dataDxfId="85"/>
    <tableColumn id="13" xr3:uid="{8B622BDB-C6A4-45F5-A03E-1225D373F1EB}" name="3.3 Were predictors excluded from the outcome definition?" dataDxfId="84"/>
    <tableColumn id="14" xr3:uid="{8BDC7166-2DE4-4A4C-AD57-4678386B55DC}" name="3.4 Was the outcome defined and determined in a similar way for all participants?" dataDxfId="83"/>
    <tableColumn id="15" xr3:uid="{274B1114-D1FE-4599-9707-9065FD484E07}" name="3.5 Was the outcome determined without knowledge of predictor information?" dataDxfId="82"/>
    <tableColumn id="16" xr3:uid="{4CFCE752-9A83-4D78-A176-ED5078BC1223}" name="3.6 Was the time interval between predictor assessment and outcome determination _x000a_appropriate?" dataDxfId="81"/>
    <tableColumn id="17" xr3:uid="{41678407-C328-4C98-ADDE-A74E40CBCE0A}" name="Risk (domain 3)" dataDxfId="80"/>
    <tableColumn id="18" xr3:uid="{EFF6F9A8-1AD4-4929-A5DD-28F4DF671D12}" name="Rationale (domain 3)" dataDxfId="79"/>
    <tableColumn id="26" xr3:uid="{E86CEDDB-775C-FB41-8DAF-A1812E5C9B8A}" name="Can contributor described outcome details (from RS/DS domain) assist in identifying and confirming relapse cases?" dataDxfId="78"/>
    <tableColumn id="25" xr3:uid="{4768AB48-E12C-DE46-AC60-E8B2ACB569FA}" name="Can parasitaemia details (from MB domain)  assist in identifying  and confirming relapse cases?" dataDxfId="77"/>
    <tableColumn id="27" xr3:uid="{0410F92B-5CFC-0D47-A2A7-AA460E6EBDEA}" name="Can rescue treatment details (from IN domain)  assist in identifying  and confirming relapse cases?" dataDxfId="76"/>
    <tableColumn id="30" xr3:uid="{059BE425-0BC2-904C-8C13-E844A9805A9B}" name="How well do outcome markers concur? [Good concordance, reasonable concordance, poor concordance) " dataDxfId="75"/>
    <tableColumn id="24" xr3:uid="{12A631D4-E63B-C144-899A-96A51E10C32C}" name="Confidence in correctly identifying relapses" dataDxfId="74"/>
    <tableColumn id="22" xr3:uid="{96650D60-160F-944E-8189-225E4FEBC1A7}" name="Confidence in ability to identify patients lost-to-follow-up in the dataset" dataDxfId="73"/>
    <tableColumn id="35" xr3:uid="{881C2E7E-5A0F-FD4D-BB42-B93D190FE18C}" name="Confidence in ability to identify patients with initial treatment failure in the dataset" dataDxfId="72"/>
    <tableColumn id="28" xr3:uid="{152CA123-FD68-C247-B48F-36CEDE24D555}" name="Confidence in ability to extract available predictor information from dataset" dataDxfId="71"/>
    <tableColumn id="33" xr3:uid="{47B73116-86F6-0844-83B8-60FCC98749EE}" name="How well do the reported total number of patients from the publication correlate with the dataset findings?" dataDxfId="70"/>
    <tableColumn id="31" xr3:uid="{0EA801BC-629D-0F4A-83EE-D7915019198D}" name="How well do the reported number of relapses from the publication correlate with the dataset findings?" dataDxfId="69"/>
    <tableColumn id="32" xr3:uid="{D4F1BCBE-2D43-554A-9B7D-BD5BB9CEF0DB}" name="How well do the reported number of LTFU cases from the publication correlate with the dataset findings?" dataDxfId="68"/>
    <tableColumn id="29" xr3:uid="{A94D7326-0E1D-2644-9DED-D59A8C4BC3FF}" name="Comments" dataDxfId="67"/>
    <tableColumn id="19" xr3:uid="{4E873BCE-B52E-41A5-9668-500A56B7525C}" name="Risk of bias (overall)" dataDxfId="66"/>
    <tableColumn id="20" xr3:uid="{4D3611D8-89BE-44F6-A969-6264381631A6}" name="Comment" dataDxfId="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F95094-74BA-7544-80C2-993165E14BF6}" name="Table3" displayName="Table3" ref="B5:AA57" totalsRowShown="0" dataDxfId="64">
  <autoFilter ref="B5:AA57" xr:uid="{BFF95094-74BA-7544-80C2-993165E14BF6}"/>
  <tableColumns count="26">
    <tableColumn id="1" xr3:uid="{071018A6-065D-0142-8EFA-F242D7F71D07}" name="STUDYID" dataDxfId="63"/>
    <tableColumn id="2" xr3:uid="{9C16A299-6F22-A842-B107-7296192C7D11}" name="Ref ID" dataDxfId="62"/>
    <tableColumn id="3" xr3:uid="{80D571AB-A989-8F42-B354-C5D02B034B1E}" name="Time point" dataDxfId="61"/>
    <tableColumn id="4" xr3:uid="{20D06F23-9DFB-7D4D-A14A-5ECB8998FA86}" name="Reported time point measured" dataDxfId="60"/>
    <tableColumn id="22" xr3:uid="{13BF779E-CF3A-E644-940C-AA861C9F6CFA}" name="Characteristic" dataDxfId="59"/>
    <tableColumn id="5" xr3:uid="{AE2725F8-7894-F843-8622-397559DF252E}" name="Denominator reported?" dataDxfId="58"/>
    <tableColumn id="20" xr3:uid="{88DBDA8E-C1FA-1147-9C9C-CCEE33D391A8}" name="Denominator " dataDxfId="57"/>
    <tableColumn id="25" xr3:uid="{0D9FEDB2-56E7-3D49-8299-F63F731EBDE5}" name="Missing data reported?" dataDxfId="56"/>
    <tableColumn id="26" xr3:uid="{BEE5C236-8E0B-B345-8E97-3D16A717F883}" name="Missing data comment" dataDxfId="55"/>
    <tableColumn id="6" xr3:uid="{D7CC7224-BC6B-A447-920E-93DA4D8727FF}" name="Definition (source)" dataDxfId="54"/>
    <tableColumn id="7" xr3:uid="{143AEC76-80C3-9240-B9E3-D13D99C1D188}" name="Measurement details (source)" dataDxfId="53"/>
    <tableColumn id="8" xr3:uid="{C13D7F18-933A-4446-A456-BE13E65D1EB5}" name="Units" dataDxfId="52"/>
    <tableColumn id="12" xr3:uid="{8130CD75-BBE1-FA42-8F12-6C7726D95214}" name="Tabulated in &gt; 2 groups?" dataDxfId="51"/>
    <tableColumn id="27" xr3:uid="{FA7AAA23-F195-9846-AC80-E49CACBBFFAF}" name="Comment" dataDxfId="50"/>
    <tableColumn id="9" xr3:uid="{647C6940-9811-8C42-80D5-A8826D48FF1A}" name="Binary group cut-off: presented?" dataDxfId="49"/>
    <tableColumn id="10" xr3:uid="{4DDAFE8D-DC7A-5943-9008-FD22C6EC7D44}" name="Binary group: summary measure" dataDxfId="48"/>
    <tableColumn id="11" xr3:uid="{52AFA30D-5C4C-2C4B-BF29-DE9BAD3298F5}" name="Binary group: number" dataDxfId="47"/>
    <tableColumn id="23" xr3:uid="{D678EF61-BA9D-9442-9BDB-AC74E5170675}" name="Binary group: percentage" dataDxfId="46"/>
    <tableColumn id="13" xr3:uid="{CCCD0E16-4ADE-E844-BF06-E8906A706FEE}" name="Continuous measures: presented?" dataDxfId="45"/>
    <tableColumn id="14" xr3:uid="{6E053089-526F-5F4F-B8E8-945083FB7031}" name="Mean" dataDxfId="44"/>
    <tableColumn id="15" xr3:uid="{E3021F8E-EE90-BC49-8E26-F40EEEC1A6BF}" name="Standard deviation" dataDxfId="43"/>
    <tableColumn id="16" xr3:uid="{B40A2C3E-28DF-364C-8666-5A9A559EDCF5}" name="Median" dataDxfId="42"/>
    <tableColumn id="17" xr3:uid="{81A5D507-E10D-744B-9FDA-D59B7DF433C4}" name="IQR (lower)" dataDxfId="41"/>
    <tableColumn id="21" xr3:uid="{8C02037D-B51D-B64D-BE10-EF809D33EA3F}" name="IQR (upper)" dataDxfId="40"/>
    <tableColumn id="18" xr3:uid="{A9ED4C0B-354C-634A-B781-5DAC5AA2BADD}" name="Range (lower)" dataDxfId="39"/>
    <tableColumn id="19" xr3:uid="{97A9A3D1-4572-884E-A0A3-99B997E7A6DE}" name="Range (upper)"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0AAF13-764D-4689-A91F-CC3FB484EBDD}" name="Drugs" displayName="Drugs" ref="B3:D15" totalsRowShown="0">
  <autoFilter ref="B3:D15" xr:uid="{2B0AAF13-764D-4689-A91F-CC3FB484EBDD}"/>
  <tableColumns count="3">
    <tableColumn id="1" xr3:uid="{FC6C5233-5D88-46CA-9E8F-2BBC13025309}" name="Drugs"/>
    <tableColumn id="2" xr3:uid="{534FF06C-B449-4B3B-A3EB-91C1D801F5A1}" name="Brand name"/>
    <tableColumn id="3" xr3:uid="{6829EC85-E30D-4888-B5CA-4CE71DFB2099}" name="Manufactur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3CEEC5-69B5-9A4E-BD42-48898F005550}" name="Timepoint" displayName="Timepoint" ref="F3:H5" totalsRowShown="0">
  <autoFilter ref="F3:H5" xr:uid="{E73CEEC5-69B5-9A4E-BD42-48898F005550}"/>
  <tableColumns count="3">
    <tableColumn id="1" xr3:uid="{7E1E12E6-456D-B64F-92C6-F11AE49C135E}" name="Timepoint"/>
    <tableColumn id="2" xr3:uid="{C7924413-C33A-074A-8DFB-079184868A01}" name="Acceptable range (lower)"/>
    <tableColumn id="3" xr3:uid="{1B7A1DE1-3AB1-C84A-A7B8-610A1FE0F1DC}" name="Acceptable range (upp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708E1C5-1F5E-AE41-8C8C-C7421C802038}" name="Characteristics" displayName="Characteristics" ref="F12:G38" totalsRowShown="0">
  <autoFilter ref="F12:G38" xr:uid="{7708E1C5-1F5E-AE41-8C8C-C7421C802038}"/>
  <tableColumns count="2">
    <tableColumn id="1" xr3:uid="{4669D5E1-4BF1-7F4C-BCDF-34BA9692D0A6}" name="Characteristic"/>
    <tableColumn id="2" xr3:uid="{33B0FD57-2F8B-A84E-9444-BAC1EADE728B}" name="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97000-05F8-C342-8414-98B6FAA965B2}" name="STUDYID_WEB" displayName="STUDYID_WEB" ref="B4:AJ62" totalsRowShown="0" headerRowDxfId="37" dataDxfId="35" headerRowBorderDxfId="36" tableBorderDxfId="34">
  <autoFilter ref="B4:AJ62" xr:uid="{5CB97000-05F8-C342-8414-98B6FAA965B2}">
    <filterColumn colId="9">
      <filters>
        <filter val="Brazil"/>
      </filters>
    </filterColumn>
    <filterColumn colId="10">
      <filters>
        <filter val="Visceral leishmaniasis"/>
      </filters>
    </filterColumn>
  </autoFilter>
  <sortState xmlns:xlrd2="http://schemas.microsoft.com/office/spreadsheetml/2017/richdata2" ref="B5:AJ62">
    <sortCondition ref="B4:B62"/>
  </sortState>
  <tableColumns count="35">
    <tableColumn id="1" xr3:uid="{404875A6-F408-B748-9440-EF5CE9CAFFCF}" name="IDDO Data Contribution ID" dataDxfId="33"/>
    <tableColumn id="2" xr3:uid="{96108163-FBE0-6D43-9071-C0AEDBD76D5B}" name="IDDO Research Theme" dataDxfId="32"/>
    <tableColumn id="3" xr3:uid="{A19F4408-12AD-1A4B-B806-7D333BD116BB}" name="Contributing Organisation" dataDxfId="31"/>
    <tableColumn id="4" xr3:uid="{626BF3B3-D361-FF42-B48F-2558BB1688CE}" name="Year Shared" dataDxfId="30"/>
    <tableColumn id="5" xr3:uid="{E5A2DCF0-6E4A-E447-80E4-B3AF6BC523D1}" name="Data Sharing Designation" dataDxfId="29"/>
    <tableColumn id="6" xr3:uid="{DC813D74-1F9F-EC47-9F56-12682946AB29}" name="Clinical Trial Registration Number(s)" dataDxfId="28"/>
    <tableColumn id="7" xr3:uid="{987CFE6E-E482-054D-A452-BC21274A2823}" name="Associated Publication(s) Name" dataDxfId="27"/>
    <tableColumn id="8" xr3:uid="{2DF0EBEE-7ADC-A94D-B6C3-BC82BD64FE95}" name="Publication DOI(s)" dataDxfId="26" dataCellStyle="Hyperlink"/>
    <tableColumn id="9" xr3:uid="{6B4F7E2B-80D1-B645-8639-3A2FE16B00B2}" name="Publication PubMedID(s)" dataDxfId="25"/>
    <tableColumn id="10" xr3:uid="{25206A61-A34C-584E-8915-81C0AC8950E2}" name="Country(s) of Data Collection" dataDxfId="24"/>
    <tableColumn id="11" xr3:uid="{EC98508C-3782-0A4C-ADC4-94EE47D0EE33}" name="Trial Disease/Condition Indication" dataDxfId="23"/>
    <tableColumn id="12" xr3:uid="{C2174A45-018F-7F47-80E7-5EB9384B895C}" name="Treatment(s)" dataDxfId="22"/>
    <tableColumn id="13" xr3:uid="{E7FCEB8E-D9B2-2A4D-80BA-04D5ED55805E}" name="Route of Drug Administration" dataDxfId="21"/>
    <tableColumn id="14" xr3:uid="{5AF9526E-48C7-AA4F-B8F2-36FD603E6B18}" name="Planned Treatment(s) Duration" dataDxfId="20"/>
    <tableColumn id="15" xr3:uid="{999972A2-CCB4-BD43-B6A7-FFE752F47CF8}" name="Trial Type" dataDxfId="19"/>
    <tableColumn id="16" xr3:uid="{A4FC7FF4-C9E3-0146-854A-A674B6541D1E}" name="Randomized?" dataDxfId="18"/>
    <tableColumn id="17" xr3:uid="{9DAB2997-2F82-BF44-AFC7-C185A189DFB0}" name="Trial Blinding Schema" dataDxfId="17"/>
    <tableColumn id="18" xr3:uid="{0FC9BFB2-B689-0247-B095-53DD0E3EA693}" name="Study Start Date"/>
    <tableColumn id="19" xr3:uid="{AD7CFBBD-3152-354E-AD6C-31DAC48F988F}" name="Study End Date" dataDxfId="16"/>
    <tableColumn id="20" xr3:uid="{EEBCC874-C414-D541-9E1A-FA76ADA21AE6}" name="Planned Minimum Age" dataDxfId="15"/>
    <tableColumn id="21" xr3:uid="{768179AF-2A55-1549-991E-E8BAF4D036E7}" name="Planned Maximum Age" dataDxfId="14"/>
    <tableColumn id="22" xr3:uid="{51C8B388-7342-8349-8556-21488C4EC1F0}" name="Planned Duration of Follow-up" dataDxfId="13"/>
    <tableColumn id="23" xr3:uid="{AEB84A00-ED16-4E4E-AAA7-DDD5520900BF}" name="Number of Individual Patients" dataDxfId="12"/>
    <tableColumn id="24" xr3:uid="{CCEEAC94-70B0-9149-91F1-077EE3A2FF72}" name="Curation Status" dataDxfId="11"/>
    <tableColumn id="25" xr3:uid="{51F94A34-12DD-5147-8154-28D65685E0CF}" name="Format of Data" dataDxfId="10"/>
    <tableColumn id="26" xr3:uid="{8AC7A466-1054-D647-926B-BF9A0F3D290C}" name="Age-Distribution: Under 5 Years" dataDxfId="9"/>
    <tableColumn id="27" xr3:uid="{24D470B9-2824-9E44-8A7A-0E68818B7A0E}" name="Age-Distribution: 5-15 Years" dataDxfId="8"/>
    <tableColumn id="28" xr3:uid="{30CA4BFA-3A43-EF4F-B189-CEE6054285A4}" name="Age-Distribution: Over 15 Years" dataDxfId="7"/>
    <tableColumn id="29" xr3:uid="{C1E6F776-A1DF-6446-BD22-D849A3E66AB1}" name="Number Female Patients" dataDxfId="6"/>
    <tableColumn id="30" xr3:uid="{B4231BD4-B9E1-7247-9F76-7C2D60FECF95}" name="Number Male Patients" dataDxfId="5"/>
    <tableColumn id="31" xr3:uid="{21C7EC67-F9D4-EF45-9453-50FBF7D782FE}" name="Demographics" dataDxfId="4"/>
    <tableColumn id="32" xr3:uid="{4F18FBDD-1A7B-3B44-9CE4-96F005E227D2}" name="Vital Signs" dataDxfId="3"/>
    <tableColumn id="33" xr3:uid="{95D2CC86-9482-5B49-ADB5-363B9886CAB8}" name="Pregnancy Data" dataDxfId="2"/>
    <tableColumn id="34" xr3:uid="{8E449BAC-6106-874F-BBF0-6DB4C53DF31A}" name="Laboratory Tests" dataDxfId="1"/>
    <tableColumn id="35" xr3:uid="{BB0F2BC7-FCAE-B04C-AFD2-338B1F795A1A}" name="Clinical and Adverse Ev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57AE8C-E146-C042-91DE-0F11B2ADA2DD}">
  <we:reference id="db18cc72-1a17-45df-b60e-7ffb655e8af5" version="1.0.0.4" store="EXCatalog" storeType="EXCatalog"/>
  <we:alternateReferences>
    <we:reference id="WA104381701" version="1.0.0.4" store="en-GB"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3" Type="http://schemas.openxmlformats.org/officeDocument/2006/relationships/hyperlink" Target="https://doi.org/10.1086/505217" TargetMode="External"/><Relationship Id="rId18" Type="http://schemas.openxmlformats.org/officeDocument/2006/relationships/hyperlink" Target="https://doi.org/10.25259/ijdvl_410_19" TargetMode="External"/><Relationship Id="rId26" Type="http://schemas.openxmlformats.org/officeDocument/2006/relationships/hyperlink" Target="https://doi.org/10.4269/ajtmh.14-0259" TargetMode="External"/><Relationship Id="rId21" Type="http://schemas.openxmlformats.org/officeDocument/2006/relationships/hyperlink" Target="https://doi.org/10.4269/ajtmh.16-0242" TargetMode="External"/><Relationship Id="rId34" Type="http://schemas.openxmlformats.org/officeDocument/2006/relationships/hyperlink" Target="https://doi.org/10.1016/s0140-6736(10)62050-8" TargetMode="External"/><Relationship Id="rId7" Type="http://schemas.openxmlformats.org/officeDocument/2006/relationships/hyperlink" Target="https://doi.org/10.1371/journal.pntd.0000855" TargetMode="External"/><Relationship Id="rId12" Type="http://schemas.openxmlformats.org/officeDocument/2006/relationships/hyperlink" Target="https://doi.org/10.1155/2015/414378" TargetMode="External"/><Relationship Id="rId17" Type="http://schemas.openxmlformats.org/officeDocument/2006/relationships/hyperlink" Target="https://doi.org/10.1086/367843" TargetMode="External"/><Relationship Id="rId25" Type="http://schemas.openxmlformats.org/officeDocument/2006/relationships/hyperlink" Target="https://doi.org/10.1111/j.1365-3156.2008.02128.x" TargetMode="External"/><Relationship Id="rId33" Type="http://schemas.openxmlformats.org/officeDocument/2006/relationships/hyperlink" Target="https://doi.org/10.1093/cid/cis474%2520%7C" TargetMode="External"/><Relationship Id="rId2" Type="http://schemas.openxmlformats.org/officeDocument/2006/relationships/hyperlink" Target="https://doi.org/10.1179/136485908x252142" TargetMode="External"/><Relationship Id="rId16" Type="http://schemas.openxmlformats.org/officeDocument/2006/relationships/hyperlink" Target="https://doi.org/10.4269/ajtmh.17-0094" TargetMode="External"/><Relationship Id="rId20" Type="http://schemas.openxmlformats.org/officeDocument/2006/relationships/hyperlink" Target="https://doi.org/10.1086/367843" TargetMode="External"/><Relationship Id="rId29" Type="http://schemas.openxmlformats.org/officeDocument/2006/relationships/hyperlink" Target="https://doi.org/10.1016/s0035-9203(01)90110-5" TargetMode="External"/><Relationship Id="rId1" Type="http://schemas.openxmlformats.org/officeDocument/2006/relationships/hyperlink" Target="https://doi.org/10.1371/journal.pntd.0002613" TargetMode="External"/><Relationship Id="rId6" Type="http://schemas.openxmlformats.org/officeDocument/2006/relationships/hyperlink" Target="https://doi.org/10.1179/136485908x252133" TargetMode="External"/><Relationship Id="rId11" Type="http://schemas.openxmlformats.org/officeDocument/2006/relationships/hyperlink" Target="https://doi.org/10.1371/journal.pntd.0003169" TargetMode="External"/><Relationship Id="rId24" Type="http://schemas.openxmlformats.org/officeDocument/2006/relationships/hyperlink" Target="https://doi.org/10.1371/journal.pntd.0004880" TargetMode="External"/><Relationship Id="rId32" Type="http://schemas.openxmlformats.org/officeDocument/2006/relationships/hyperlink" Target="https://doi.org/10.1056/nejmoa066536" TargetMode="External"/><Relationship Id="rId37" Type="http://schemas.openxmlformats.org/officeDocument/2006/relationships/table" Target="../tables/table8.xml"/><Relationship Id="rId5" Type="http://schemas.openxmlformats.org/officeDocument/2006/relationships/hyperlink" Target="https://doi.org/10.1086/605438" TargetMode="External"/><Relationship Id="rId15" Type="http://schemas.openxmlformats.org/officeDocument/2006/relationships/hyperlink" Target="https://doi.org/10.1371/journal.pntd.0005706" TargetMode="External"/><Relationship Id="rId23" Type="http://schemas.openxmlformats.org/officeDocument/2006/relationships/hyperlink" Target="https://doi.org/10.1046/j.1365-3156.2000.00555.x" TargetMode="External"/><Relationship Id="rId28" Type="http://schemas.openxmlformats.org/officeDocument/2006/relationships/hyperlink" Target="https://doi.org/10.4269/ajtmh.19-0179" TargetMode="External"/><Relationship Id="rId36" Type="http://schemas.openxmlformats.org/officeDocument/2006/relationships/drawing" Target="../drawings/drawing1.xml"/><Relationship Id="rId10" Type="http://schemas.openxmlformats.org/officeDocument/2006/relationships/hyperlink" Target="https://doi.org/10.1371/journal.pntd.0000709" TargetMode="External"/><Relationship Id="rId19" Type="http://schemas.openxmlformats.org/officeDocument/2006/relationships/hyperlink" Target="https://doi.org/10.1371/journal.pone.0174497" TargetMode="External"/><Relationship Id="rId31" Type="http://schemas.openxmlformats.org/officeDocument/2006/relationships/hyperlink" Target="https://doi.org/10.1016/j.trstmh.2010.10.008" TargetMode="External"/><Relationship Id="rId4" Type="http://schemas.openxmlformats.org/officeDocument/2006/relationships/hyperlink" Target="https://doi.org/10.1086/591972" TargetMode="External"/><Relationship Id="rId9" Type="http://schemas.openxmlformats.org/officeDocument/2006/relationships/hyperlink" Target="https://doi.org/10.4269/ajtmh.19-0179" TargetMode="External"/><Relationship Id="rId14" Type="http://schemas.openxmlformats.org/officeDocument/2006/relationships/hyperlink" Target="https://doi.org/10.1056/nejmoa0903627" TargetMode="External"/><Relationship Id="rId22" Type="http://schemas.openxmlformats.org/officeDocument/2006/relationships/hyperlink" Target="https://doi.org/10.1093/cid/ciy747" TargetMode="External"/><Relationship Id="rId27" Type="http://schemas.openxmlformats.org/officeDocument/2006/relationships/hyperlink" Target="https://doi.org/10.1371/journal.pntd.0001674" TargetMode="External"/><Relationship Id="rId30" Type="http://schemas.openxmlformats.org/officeDocument/2006/relationships/hyperlink" Target="https://doi.org/10.1111/tmi.12015" TargetMode="External"/><Relationship Id="rId35" Type="http://schemas.openxmlformats.org/officeDocument/2006/relationships/printerSettings" Target="../printerSettings/printerSettings3.bin"/><Relationship Id="rId8" Type="http://schemas.openxmlformats.org/officeDocument/2006/relationships/hyperlink" Target="https://doi.org/10.1016/j.meegid.2006.08.005%2520%7C%252010.1016/j.micinf.2007.01.009%2520%7C%252010.1016/j.trstmh.2009.08.002%2520%7C%252010.1101/gr.123430.111%7C%252010.7554/elife.12613%2520%7C%252010.1371/journal.pntd.0005420%2520%7C%252010.1016/j.meegid.2018.04.021" TargetMode="External"/><Relationship Id="rId3" Type="http://schemas.openxmlformats.org/officeDocument/2006/relationships/hyperlink" Target="https://doi.org/10.1016/s0035-9203(03)9016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98E6-7E6C-4636-8584-7D2F45E29EB6}">
  <dimension ref="A1:AR37"/>
  <sheetViews>
    <sheetView tabSelected="1" zoomScaleNormal="110" workbookViewId="0">
      <pane xSplit="4" ySplit="2" topLeftCell="AC30" activePane="bottomRight" state="frozen"/>
      <selection pane="topRight" activeCell="E1" sqref="E1"/>
      <selection pane="bottomLeft" activeCell="A5" sqref="A5"/>
      <selection pane="bottomRight" activeCell="AF33" sqref="AF33"/>
    </sheetView>
  </sheetViews>
  <sheetFormatPr baseColWidth="10" defaultColWidth="9" defaultRowHeight="16" x14ac:dyDescent="0.2"/>
  <cols>
    <col min="1" max="1" width="9" style="59" hidden="1" customWidth="1"/>
    <col min="2" max="2" width="0.1640625" style="59" customWidth="1"/>
    <col min="3" max="3" width="23.83203125" style="59" customWidth="1"/>
    <col min="4" max="5" width="13" style="59" customWidth="1"/>
    <col min="6" max="6" width="18.33203125" style="59" customWidth="1"/>
    <col min="7" max="7" width="13" style="59" customWidth="1"/>
    <col min="8" max="8" width="29" style="59" customWidth="1"/>
    <col min="9" max="10" width="35.1640625" style="59" customWidth="1"/>
    <col min="11" max="11" width="25" style="59" customWidth="1"/>
    <col min="12" max="12" width="25.83203125" style="59" customWidth="1"/>
    <col min="13" max="13" width="35.1640625" style="59" customWidth="1"/>
    <col min="14" max="19" width="23.6640625" style="59" customWidth="1"/>
    <col min="20" max="20" width="29" style="59" customWidth="1"/>
    <col min="21" max="21" width="68.5" style="59" customWidth="1"/>
    <col min="22" max="22" width="39.33203125" style="59" customWidth="1"/>
    <col min="23" max="23" width="55.1640625" style="59" hidden="1" customWidth="1"/>
    <col min="24" max="24" width="45.1640625" style="59" hidden="1" customWidth="1"/>
    <col min="25" max="25" width="38.83203125" style="59" hidden="1" customWidth="1"/>
    <col min="26" max="26" width="28.6640625" style="42" customWidth="1"/>
    <col min="27" max="27" width="25.83203125" style="59" hidden="1" customWidth="1"/>
    <col min="28" max="28" width="76.33203125" style="59" hidden="1" customWidth="1"/>
    <col min="29" max="29" width="52" style="59" customWidth="1"/>
    <col min="30" max="30" width="52" style="59" hidden="1" customWidth="1"/>
    <col min="31" max="37" width="52" style="59" customWidth="1"/>
    <col min="38" max="39" width="51.5" style="42" customWidth="1"/>
    <col min="40" max="40" width="25.5" style="59" hidden="1" customWidth="1"/>
    <col min="41" max="41" width="25.5" style="59" customWidth="1"/>
    <col min="42" max="42" width="46.83203125" style="42" customWidth="1"/>
    <col min="43" max="43" width="52" style="59" hidden="1" customWidth="1"/>
    <col min="44" max="44" width="25.6640625" style="59" bestFit="1" customWidth="1"/>
    <col min="45" max="46" width="41.33203125" style="59" customWidth="1"/>
    <col min="47" max="47" width="34.33203125" style="59" customWidth="1"/>
    <col min="48" max="64" width="9" style="59"/>
    <col min="65" max="65" width="31" style="59" customWidth="1"/>
    <col min="66" max="66" width="24.33203125" style="59" bestFit="1" customWidth="1"/>
    <col min="67" max="67" width="44.6640625" style="59" customWidth="1"/>
    <col min="68" max="76" width="26.1640625" style="59" customWidth="1"/>
    <col min="77" max="78" width="22.5" style="59" customWidth="1"/>
    <col min="79" max="79" width="27.6640625" style="59" customWidth="1"/>
    <col min="80" max="80" width="36.5" style="59" customWidth="1"/>
    <col min="81" max="81" width="21.6640625" style="59" customWidth="1"/>
    <col min="82" max="82" width="22.5" style="59" customWidth="1"/>
    <col min="83" max="83" width="9" style="59"/>
    <col min="84" max="84" width="15.83203125" style="59" customWidth="1"/>
    <col min="85" max="85" width="26.5" style="59" customWidth="1"/>
    <col min="86" max="86" width="25.5" style="59" customWidth="1"/>
    <col min="87" max="87" width="28.1640625" style="59" customWidth="1"/>
    <col min="88" max="88" width="24.83203125" style="59" customWidth="1"/>
    <col min="89" max="89" width="19.6640625" style="59" bestFit="1" customWidth="1"/>
    <col min="90" max="16384" width="9" style="59"/>
  </cols>
  <sheetData>
    <row r="1" spans="3:44" s="71" customFormat="1" ht="17" x14ac:dyDescent="0.2">
      <c r="F1" s="72" t="s">
        <v>1307</v>
      </c>
      <c r="G1" s="62"/>
      <c r="H1" s="62"/>
      <c r="I1" s="62"/>
      <c r="J1" s="62"/>
      <c r="K1" s="73" t="s">
        <v>411</v>
      </c>
      <c r="L1" s="60"/>
      <c r="M1" s="60"/>
      <c r="N1" s="60"/>
      <c r="O1" s="60"/>
      <c r="P1" s="60"/>
      <c r="Q1" s="60"/>
      <c r="R1" s="60"/>
      <c r="S1" s="60"/>
      <c r="T1" s="60"/>
      <c r="U1" s="60"/>
      <c r="V1" s="60"/>
      <c r="X1" s="71" t="s">
        <v>550</v>
      </c>
      <c r="Z1" s="74" t="s">
        <v>1331</v>
      </c>
      <c r="AA1" s="74"/>
      <c r="AB1" s="74"/>
      <c r="AC1" s="74"/>
      <c r="AD1" s="74"/>
      <c r="AE1" s="74"/>
      <c r="AF1" s="74"/>
      <c r="AG1" s="74"/>
      <c r="AH1" s="74"/>
      <c r="AI1" s="76" t="s">
        <v>1333</v>
      </c>
      <c r="AJ1" s="77"/>
      <c r="AK1" s="77"/>
      <c r="AL1" s="77"/>
      <c r="AM1" s="77"/>
      <c r="AN1" s="75"/>
      <c r="AO1" s="77"/>
      <c r="AP1" s="77"/>
    </row>
    <row r="2" spans="3:44" ht="68" x14ac:dyDescent="0.2">
      <c r="C2" s="59" t="s">
        <v>1339</v>
      </c>
      <c r="D2" s="59" t="s">
        <v>1300</v>
      </c>
      <c r="E2" s="59" t="s">
        <v>348</v>
      </c>
      <c r="F2" s="62" t="s">
        <v>1302</v>
      </c>
      <c r="G2" s="62" t="s">
        <v>399</v>
      </c>
      <c r="H2" s="62" t="s">
        <v>1304</v>
      </c>
      <c r="I2" s="62" t="s">
        <v>1303</v>
      </c>
      <c r="J2" s="62" t="s">
        <v>552</v>
      </c>
      <c r="K2" s="60" t="s">
        <v>1323</v>
      </c>
      <c r="L2" s="60" t="s">
        <v>1308</v>
      </c>
      <c r="M2" s="60" t="s">
        <v>1306</v>
      </c>
      <c r="N2" s="63" t="s">
        <v>1309</v>
      </c>
      <c r="O2" s="64" t="s">
        <v>1310</v>
      </c>
      <c r="P2" s="64" t="s">
        <v>1311</v>
      </c>
      <c r="Q2" s="64" t="s">
        <v>1312</v>
      </c>
      <c r="R2" s="64" t="s">
        <v>1313</v>
      </c>
      <c r="S2" s="64" t="s">
        <v>1314</v>
      </c>
      <c r="T2" s="60" t="s">
        <v>1315</v>
      </c>
      <c r="U2" s="60" t="s">
        <v>1316</v>
      </c>
      <c r="V2" s="60" t="s">
        <v>1324</v>
      </c>
      <c r="W2" s="59" t="s">
        <v>411</v>
      </c>
      <c r="X2" s="59" t="s">
        <v>402</v>
      </c>
      <c r="Y2" s="59" t="s">
        <v>405</v>
      </c>
      <c r="Z2" s="65" t="s">
        <v>1325</v>
      </c>
      <c r="AA2" s="74" t="s">
        <v>546</v>
      </c>
      <c r="AB2" s="74" t="s">
        <v>545</v>
      </c>
      <c r="AC2" s="65" t="s">
        <v>1326</v>
      </c>
      <c r="AD2" s="74" t="s">
        <v>406</v>
      </c>
      <c r="AE2" s="65" t="s">
        <v>1364</v>
      </c>
      <c r="AF2" s="65" t="s">
        <v>1327</v>
      </c>
      <c r="AG2" s="65" t="s">
        <v>1329</v>
      </c>
      <c r="AH2" s="65" t="s">
        <v>1328</v>
      </c>
      <c r="AI2" s="78" t="s">
        <v>1386</v>
      </c>
      <c r="AJ2" s="78" t="s">
        <v>1418</v>
      </c>
      <c r="AK2" s="78" t="s">
        <v>1335</v>
      </c>
      <c r="AL2" s="78" t="s">
        <v>1336</v>
      </c>
      <c r="AM2" s="78" t="s">
        <v>1337</v>
      </c>
      <c r="AN2" s="75" t="s">
        <v>548</v>
      </c>
      <c r="AO2" s="77" t="s">
        <v>1338</v>
      </c>
      <c r="AP2" s="77" t="s">
        <v>409</v>
      </c>
      <c r="AQ2" s="59" t="s">
        <v>608</v>
      </c>
      <c r="AR2" s="59" t="s">
        <v>1332</v>
      </c>
    </row>
    <row r="3" spans="3:44" ht="157" hidden="1" customHeight="1" x14ac:dyDescent="0.2">
      <c r="C3" s="67" t="s">
        <v>1285</v>
      </c>
      <c r="D3" s="67">
        <v>17624846</v>
      </c>
      <c r="E3" s="67"/>
      <c r="F3" s="67"/>
      <c r="G3" s="67"/>
      <c r="H3" s="59" t="s">
        <v>1169</v>
      </c>
      <c r="I3" s="59" t="s">
        <v>1170</v>
      </c>
      <c r="K3" s="59" t="s">
        <v>352</v>
      </c>
      <c r="L3" s="59" t="s">
        <v>352</v>
      </c>
      <c r="N3" s="59" t="s">
        <v>1128</v>
      </c>
      <c r="P3" s="59" t="s">
        <v>1172</v>
      </c>
      <c r="T3" s="59" t="s">
        <v>1173</v>
      </c>
      <c r="U3" s="59" t="s">
        <v>1171</v>
      </c>
      <c r="V3" s="59" t="s">
        <v>350</v>
      </c>
      <c r="W3" s="59" t="s">
        <v>724</v>
      </c>
      <c r="Y3" s="59" t="s">
        <v>732</v>
      </c>
      <c r="Z3" s="59" t="s">
        <v>725</v>
      </c>
      <c r="AB3" s="59" t="s">
        <v>726</v>
      </c>
      <c r="AC3" s="59" t="s">
        <v>352</v>
      </c>
      <c r="AD3" s="59" t="s">
        <v>727</v>
      </c>
      <c r="AH3" s="59" t="s">
        <v>1099</v>
      </c>
      <c r="AK3" s="59" t="s">
        <v>1334</v>
      </c>
      <c r="AL3" s="59" t="s">
        <v>728</v>
      </c>
      <c r="AM3" s="59"/>
      <c r="AP3" s="59" t="s">
        <v>731</v>
      </c>
    </row>
    <row r="4" spans="3:44" ht="95" hidden="1" customHeight="1" x14ac:dyDescent="0.2">
      <c r="C4" s="42" t="s">
        <v>1278</v>
      </c>
      <c r="D4" s="59" t="s">
        <v>63</v>
      </c>
      <c r="U4" s="68"/>
      <c r="W4" s="59" t="s">
        <v>815</v>
      </c>
      <c r="X4" s="59" t="s">
        <v>456</v>
      </c>
      <c r="Y4" s="59" t="s">
        <v>456</v>
      </c>
      <c r="Z4" s="59" t="s">
        <v>456</v>
      </c>
      <c r="AA4" s="59" t="s">
        <v>456</v>
      </c>
      <c r="AB4" s="59" t="s">
        <v>456</v>
      </c>
      <c r="AC4" s="59" t="s">
        <v>456</v>
      </c>
      <c r="AD4" s="59" t="s">
        <v>456</v>
      </c>
      <c r="AL4" s="59" t="s">
        <v>456</v>
      </c>
      <c r="AM4" s="59"/>
      <c r="AN4" s="59" t="s">
        <v>456</v>
      </c>
      <c r="AP4" s="59" t="s">
        <v>456</v>
      </c>
      <c r="AQ4" s="59" t="s">
        <v>456</v>
      </c>
    </row>
    <row r="5" spans="3:44" ht="188" hidden="1" customHeight="1" x14ac:dyDescent="0.2">
      <c r="C5" s="67" t="s">
        <v>1282</v>
      </c>
      <c r="D5" s="59">
        <v>18186975</v>
      </c>
      <c r="I5" s="59" t="s">
        <v>1144</v>
      </c>
      <c r="K5" s="59" t="s">
        <v>352</v>
      </c>
      <c r="L5" s="59" t="s">
        <v>352</v>
      </c>
      <c r="U5" s="59" t="s">
        <v>1143</v>
      </c>
      <c r="V5" s="59" t="s">
        <v>1142</v>
      </c>
      <c r="W5" s="59" t="s">
        <v>876</v>
      </c>
      <c r="X5" s="59" t="s">
        <v>884</v>
      </c>
      <c r="Y5" s="59" t="s">
        <v>880</v>
      </c>
      <c r="Z5" s="59" t="s">
        <v>881</v>
      </c>
      <c r="AA5" s="59" t="s">
        <v>770</v>
      </c>
      <c r="AC5" s="59" t="s">
        <v>352</v>
      </c>
      <c r="AH5" s="59" t="s">
        <v>1145</v>
      </c>
      <c r="AL5" s="59" t="s">
        <v>1274</v>
      </c>
      <c r="AM5" s="59"/>
      <c r="AN5" s="69" t="s">
        <v>882</v>
      </c>
      <c r="AO5" s="69"/>
      <c r="AP5" s="59" t="s">
        <v>883</v>
      </c>
    </row>
    <row r="6" spans="3:44" ht="306" hidden="1" x14ac:dyDescent="0.2">
      <c r="C6" s="67" t="s">
        <v>1289</v>
      </c>
      <c r="D6" s="59">
        <v>19436614</v>
      </c>
      <c r="H6" s="59" t="s">
        <v>1205</v>
      </c>
      <c r="I6" s="59" t="s">
        <v>1206</v>
      </c>
      <c r="K6" s="59" t="s">
        <v>1209</v>
      </c>
      <c r="L6" s="59" t="s">
        <v>833</v>
      </c>
      <c r="M6" s="59" t="s">
        <v>1207</v>
      </c>
      <c r="N6" s="59" t="s">
        <v>1212</v>
      </c>
      <c r="O6" s="59" t="s">
        <v>1082</v>
      </c>
      <c r="R6" s="59" t="s">
        <v>1208</v>
      </c>
      <c r="S6" s="59" t="s">
        <v>1208</v>
      </c>
      <c r="T6" s="59" t="s">
        <v>1211</v>
      </c>
      <c r="U6" s="59" t="s">
        <v>1210</v>
      </c>
      <c r="W6" s="59" t="s">
        <v>839</v>
      </c>
      <c r="X6" s="59" t="s">
        <v>840</v>
      </c>
      <c r="Y6" s="59" t="s">
        <v>841</v>
      </c>
      <c r="Z6" s="59" t="s">
        <v>725</v>
      </c>
      <c r="AA6" s="59" t="s">
        <v>725</v>
      </c>
      <c r="AC6" s="59" t="s">
        <v>352</v>
      </c>
      <c r="AD6" s="59" t="s">
        <v>842</v>
      </c>
      <c r="AH6" s="59" t="s">
        <v>1099</v>
      </c>
      <c r="AL6" s="59" t="s">
        <v>843</v>
      </c>
      <c r="AM6" s="59"/>
      <c r="AP6" s="59" t="s">
        <v>833</v>
      </c>
      <c r="AQ6" s="59" t="s">
        <v>844</v>
      </c>
    </row>
    <row r="7" spans="3:44" ht="409.5" hidden="1" x14ac:dyDescent="0.2">
      <c r="C7" s="67" t="s">
        <v>1281</v>
      </c>
      <c r="D7" s="59" t="s">
        <v>887</v>
      </c>
      <c r="H7" s="59" t="s">
        <v>1135</v>
      </c>
      <c r="I7" s="59" t="s">
        <v>1137</v>
      </c>
      <c r="K7" s="59" t="s">
        <v>352</v>
      </c>
      <c r="L7" s="59" t="s">
        <v>352</v>
      </c>
      <c r="M7" s="59" t="s">
        <v>456</v>
      </c>
      <c r="N7" s="59" t="s">
        <v>1128</v>
      </c>
      <c r="P7" s="59" t="s">
        <v>1136</v>
      </c>
      <c r="T7" s="59" t="s">
        <v>1138</v>
      </c>
      <c r="U7" s="59" t="s">
        <v>1139</v>
      </c>
      <c r="W7" s="59" t="s">
        <v>794</v>
      </c>
      <c r="X7" s="59" t="s">
        <v>796</v>
      </c>
      <c r="Y7" s="59" t="s">
        <v>799</v>
      </c>
      <c r="Z7" s="69" t="s">
        <v>795</v>
      </c>
      <c r="AB7" s="59" t="s">
        <v>797</v>
      </c>
      <c r="AC7" s="59" t="s">
        <v>798</v>
      </c>
      <c r="AH7" s="59" t="s">
        <v>1140</v>
      </c>
      <c r="AL7" s="59" t="s">
        <v>800</v>
      </c>
      <c r="AM7" s="59"/>
      <c r="AN7" s="59" t="s">
        <v>789</v>
      </c>
      <c r="AP7" s="59" t="s">
        <v>387</v>
      </c>
      <c r="AQ7" s="59" t="s">
        <v>801</v>
      </c>
    </row>
    <row r="8" spans="3:44" ht="140" hidden="1" customHeight="1" x14ac:dyDescent="0.2">
      <c r="C8" s="67" t="s">
        <v>1290</v>
      </c>
      <c r="D8" s="59">
        <v>27645786</v>
      </c>
      <c r="H8" s="59" t="s">
        <v>1217</v>
      </c>
      <c r="I8" s="59" t="s">
        <v>1218</v>
      </c>
      <c r="K8" s="59" t="s">
        <v>1220</v>
      </c>
      <c r="L8" s="59" t="s">
        <v>833</v>
      </c>
      <c r="N8" s="59" t="s">
        <v>1157</v>
      </c>
      <c r="O8" s="59" t="s">
        <v>1115</v>
      </c>
      <c r="P8" s="59" t="s">
        <v>1188</v>
      </c>
      <c r="Q8" s="59" t="s">
        <v>1224</v>
      </c>
      <c r="R8" s="59" t="s">
        <v>1223</v>
      </c>
      <c r="S8" s="59" t="s">
        <v>1222</v>
      </c>
      <c r="T8" s="59" t="s">
        <v>1219</v>
      </c>
      <c r="U8" s="59" t="s">
        <v>1221</v>
      </c>
      <c r="W8" s="59" t="s">
        <v>573</v>
      </c>
      <c r="X8" s="59" t="s">
        <v>577</v>
      </c>
      <c r="Y8" s="59" t="s">
        <v>576</v>
      </c>
      <c r="Z8" s="59" t="s">
        <v>574</v>
      </c>
      <c r="AA8" s="59" t="s">
        <v>456</v>
      </c>
      <c r="AB8" s="59" t="s">
        <v>456</v>
      </c>
      <c r="AC8" s="59" t="s">
        <v>382</v>
      </c>
      <c r="AD8" s="59" t="s">
        <v>575</v>
      </c>
      <c r="AH8" s="59" t="s">
        <v>1099</v>
      </c>
      <c r="AL8" s="59" t="s">
        <v>551</v>
      </c>
      <c r="AM8" s="59"/>
      <c r="AN8" s="59" t="s">
        <v>557</v>
      </c>
      <c r="AP8" s="59" t="s">
        <v>551</v>
      </c>
      <c r="AQ8" s="59" t="s">
        <v>609</v>
      </c>
    </row>
    <row r="9" spans="3:44" ht="255" hidden="1" x14ac:dyDescent="0.2">
      <c r="C9" s="67" t="s">
        <v>1287</v>
      </c>
      <c r="D9" s="59">
        <v>29016288</v>
      </c>
      <c r="H9" s="59" t="s">
        <v>1186</v>
      </c>
      <c r="I9" s="59" t="s">
        <v>1187</v>
      </c>
      <c r="K9" s="59" t="s">
        <v>352</v>
      </c>
      <c r="L9" s="59" t="s">
        <v>833</v>
      </c>
      <c r="M9" s="59" t="s">
        <v>456</v>
      </c>
      <c r="N9" s="59" t="s">
        <v>1157</v>
      </c>
      <c r="O9" s="59" t="s">
        <v>1082</v>
      </c>
      <c r="P9" s="59" t="s">
        <v>1188</v>
      </c>
      <c r="Q9" s="59" t="s">
        <v>456</v>
      </c>
      <c r="R9" s="59" t="s">
        <v>1190</v>
      </c>
      <c r="S9" s="59" t="s">
        <v>1189</v>
      </c>
      <c r="T9" s="59" t="s">
        <v>456</v>
      </c>
      <c r="U9" s="59" t="s">
        <v>1191</v>
      </c>
      <c r="W9" s="59" t="s">
        <v>818</v>
      </c>
      <c r="X9" s="59" t="s">
        <v>817</v>
      </c>
      <c r="Y9" s="59" t="s">
        <v>819</v>
      </c>
      <c r="Z9" s="59" t="s">
        <v>820</v>
      </c>
      <c r="AA9" s="59" t="s">
        <v>714</v>
      </c>
      <c r="AC9" s="59" t="s">
        <v>352</v>
      </c>
      <c r="AH9" s="59" t="s">
        <v>1099</v>
      </c>
      <c r="AL9" s="59" t="s">
        <v>1192</v>
      </c>
      <c r="AM9" s="59"/>
      <c r="AP9" s="59" t="s">
        <v>821</v>
      </c>
    </row>
    <row r="10" spans="3:44" ht="306" hidden="1" x14ac:dyDescent="0.2">
      <c r="C10" s="67" t="s">
        <v>1278</v>
      </c>
      <c r="D10" s="59">
        <v>15228258</v>
      </c>
      <c r="H10" s="59" t="s">
        <v>1078</v>
      </c>
      <c r="I10" s="59" t="s">
        <v>1101</v>
      </c>
      <c r="K10" s="59" t="s">
        <v>1270</v>
      </c>
      <c r="L10" s="59" t="s">
        <v>352</v>
      </c>
      <c r="M10" s="59" t="s">
        <v>1102</v>
      </c>
      <c r="N10" s="59" t="s">
        <v>456</v>
      </c>
      <c r="O10" s="59" t="s">
        <v>456</v>
      </c>
      <c r="P10" s="59" t="s">
        <v>456</v>
      </c>
      <c r="Q10" s="59" t="s">
        <v>456</v>
      </c>
      <c r="R10" s="59" t="s">
        <v>456</v>
      </c>
      <c r="S10" s="59" t="s">
        <v>456</v>
      </c>
      <c r="T10" s="59" t="s">
        <v>456</v>
      </c>
      <c r="U10" s="59" t="s">
        <v>456</v>
      </c>
      <c r="V10" s="59" t="s">
        <v>1100</v>
      </c>
      <c r="W10" s="59" t="s">
        <v>803</v>
      </c>
      <c r="X10" s="59" t="s">
        <v>804</v>
      </c>
      <c r="Y10" s="59" t="s">
        <v>805</v>
      </c>
      <c r="Z10" s="59" t="s">
        <v>1103</v>
      </c>
      <c r="AA10" s="59" t="s">
        <v>807</v>
      </c>
      <c r="AC10" s="59" t="s">
        <v>352</v>
      </c>
      <c r="AD10" s="59" t="s">
        <v>808</v>
      </c>
      <c r="AH10" s="59" t="s">
        <v>1121</v>
      </c>
      <c r="AL10" s="59" t="s">
        <v>806</v>
      </c>
      <c r="AM10" s="59"/>
      <c r="AP10" s="59" t="s">
        <v>1105</v>
      </c>
    </row>
    <row r="11" spans="3:44" ht="272" hidden="1" x14ac:dyDescent="0.2">
      <c r="C11" s="67" t="s">
        <v>1277</v>
      </c>
      <c r="D11" s="59" t="s">
        <v>45</v>
      </c>
      <c r="H11" s="59" t="s">
        <v>1078</v>
      </c>
      <c r="I11" s="59" t="s">
        <v>1079</v>
      </c>
      <c r="K11" s="59" t="s">
        <v>352</v>
      </c>
      <c r="L11" s="59" t="s">
        <v>352</v>
      </c>
      <c r="M11" s="59" t="s">
        <v>1086</v>
      </c>
      <c r="N11" s="59" t="s">
        <v>1080</v>
      </c>
      <c r="O11" s="59" t="s">
        <v>1082</v>
      </c>
      <c r="P11" s="59" t="s">
        <v>1081</v>
      </c>
      <c r="Q11" s="59" t="s">
        <v>1083</v>
      </c>
      <c r="R11" s="59" t="s">
        <v>1085</v>
      </c>
      <c r="S11" s="59" t="s">
        <v>1084</v>
      </c>
      <c r="T11" s="59" t="s">
        <v>1088</v>
      </c>
      <c r="U11" s="59" t="s">
        <v>1087</v>
      </c>
      <c r="W11" s="59" t="s">
        <v>861</v>
      </c>
      <c r="X11" s="59" t="s">
        <v>862</v>
      </c>
      <c r="Z11" s="59" t="s">
        <v>1104</v>
      </c>
      <c r="AC11" s="59" t="s">
        <v>352</v>
      </c>
      <c r="AD11" s="59" t="s">
        <v>863</v>
      </c>
      <c r="AH11" s="59" t="s">
        <v>1120</v>
      </c>
      <c r="AL11" s="59" t="s">
        <v>864</v>
      </c>
      <c r="AM11" s="59"/>
      <c r="AN11" s="59" t="s">
        <v>865</v>
      </c>
      <c r="AP11" s="59" t="s">
        <v>1089</v>
      </c>
    </row>
    <row r="12" spans="3:44" ht="153" hidden="1" x14ac:dyDescent="0.2">
      <c r="C12" s="67" t="s">
        <v>1283</v>
      </c>
      <c r="D12" s="59">
        <v>19726065</v>
      </c>
      <c r="H12" s="59" t="s">
        <v>1152</v>
      </c>
      <c r="I12" s="59" t="s">
        <v>1150</v>
      </c>
      <c r="K12" s="59" t="s">
        <v>1272</v>
      </c>
      <c r="L12" s="59" t="s">
        <v>1271</v>
      </c>
      <c r="M12" s="69" t="s">
        <v>1153</v>
      </c>
      <c r="W12" s="59" t="s">
        <v>781</v>
      </c>
      <c r="X12" s="59" t="s">
        <v>766</v>
      </c>
      <c r="Y12" s="59" t="s">
        <v>767</v>
      </c>
      <c r="Z12" s="59" t="s">
        <v>771</v>
      </c>
      <c r="AA12" s="59" t="s">
        <v>770</v>
      </c>
      <c r="AB12" s="59" t="s">
        <v>782</v>
      </c>
      <c r="AC12" s="59" t="s">
        <v>352</v>
      </c>
      <c r="AD12" s="59" t="s">
        <v>772</v>
      </c>
      <c r="AH12" s="59" t="s">
        <v>1151</v>
      </c>
      <c r="AL12" s="70" t="s">
        <v>769</v>
      </c>
      <c r="AM12" s="70"/>
      <c r="AN12" s="59" t="s">
        <v>771</v>
      </c>
      <c r="AP12" s="59" t="s">
        <v>768</v>
      </c>
    </row>
    <row r="13" spans="3:44" ht="255" hidden="1" x14ac:dyDescent="0.2">
      <c r="C13" s="67" t="s">
        <v>1294</v>
      </c>
      <c r="D13" s="59">
        <v>17582067</v>
      </c>
      <c r="H13" s="59" t="s">
        <v>1251</v>
      </c>
      <c r="I13" s="59" t="s">
        <v>1252</v>
      </c>
      <c r="K13" s="59" t="s">
        <v>352</v>
      </c>
      <c r="L13" s="59" t="s">
        <v>352</v>
      </c>
      <c r="M13" s="59" t="s">
        <v>1255</v>
      </c>
      <c r="N13" s="59" t="s">
        <v>1157</v>
      </c>
      <c r="O13" s="59" t="s">
        <v>1082</v>
      </c>
      <c r="P13" s="59" t="s">
        <v>1188</v>
      </c>
      <c r="Q13" s="59" t="s">
        <v>1224</v>
      </c>
      <c r="R13" s="59" t="s">
        <v>1085</v>
      </c>
      <c r="S13" s="59" t="s">
        <v>1253</v>
      </c>
      <c r="T13" s="59" t="s">
        <v>1256</v>
      </c>
      <c r="U13" s="59" t="s">
        <v>1257</v>
      </c>
      <c r="V13" s="59" t="s">
        <v>1254</v>
      </c>
      <c r="W13" s="59" t="s">
        <v>743</v>
      </c>
      <c r="X13" s="59" t="s">
        <v>744</v>
      </c>
      <c r="Y13" s="59" t="s">
        <v>745</v>
      </c>
      <c r="Z13" s="59" t="s">
        <v>725</v>
      </c>
      <c r="AB13" s="59" t="s">
        <v>746</v>
      </c>
      <c r="AC13" s="59" t="s">
        <v>352</v>
      </c>
      <c r="AD13" s="59" t="s">
        <v>747</v>
      </c>
      <c r="AH13" s="59" t="s">
        <v>1258</v>
      </c>
      <c r="AL13" s="59" t="s">
        <v>748</v>
      </c>
      <c r="AM13" s="59"/>
      <c r="AN13" s="59" t="s">
        <v>749</v>
      </c>
      <c r="AP13" s="59" t="s">
        <v>742</v>
      </c>
    </row>
    <row r="14" spans="3:44" ht="153" hidden="1" x14ac:dyDescent="0.2">
      <c r="C14" s="67" t="s">
        <v>1279</v>
      </c>
      <c r="D14" s="59">
        <v>18781879</v>
      </c>
      <c r="H14" s="59" t="s">
        <v>1110</v>
      </c>
      <c r="I14" s="59" t="s">
        <v>1111</v>
      </c>
      <c r="K14" s="59" t="s">
        <v>352</v>
      </c>
      <c r="L14" s="59" t="s">
        <v>352</v>
      </c>
      <c r="M14" s="59" t="s">
        <v>1126</v>
      </c>
      <c r="N14" s="59" t="s">
        <v>1114</v>
      </c>
      <c r="O14" s="59" t="s">
        <v>1115</v>
      </c>
      <c r="P14" s="59" t="s">
        <v>1116</v>
      </c>
      <c r="Q14" s="59" t="s">
        <v>1083</v>
      </c>
      <c r="R14" s="59" t="s">
        <v>1118</v>
      </c>
      <c r="S14" s="59" t="s">
        <v>1117</v>
      </c>
      <c r="T14" s="59" t="s">
        <v>1112</v>
      </c>
      <c r="U14" s="59" t="s">
        <v>1113</v>
      </c>
      <c r="W14" s="70" t="s">
        <v>755</v>
      </c>
      <c r="X14" s="59" t="s">
        <v>756</v>
      </c>
      <c r="Y14" s="59" t="s">
        <v>757</v>
      </c>
      <c r="Z14" s="59" t="s">
        <v>758</v>
      </c>
      <c r="AA14" s="59" t="s">
        <v>759</v>
      </c>
      <c r="AB14" s="59" t="s">
        <v>760</v>
      </c>
      <c r="AC14" s="59" t="s">
        <v>352</v>
      </c>
      <c r="AD14" s="59" t="s">
        <v>761</v>
      </c>
      <c r="AH14" s="59" t="s">
        <v>1119</v>
      </c>
      <c r="AL14" s="59" t="s">
        <v>1133</v>
      </c>
      <c r="AM14" s="59"/>
      <c r="AN14" s="59" t="s">
        <v>606</v>
      </c>
      <c r="AP14" s="59" t="s">
        <v>763</v>
      </c>
    </row>
    <row r="15" spans="3:44" ht="204" hidden="1" x14ac:dyDescent="0.2">
      <c r="C15" s="67" t="s">
        <v>1291</v>
      </c>
      <c r="D15" s="59">
        <v>18664241</v>
      </c>
      <c r="H15" s="59" t="s">
        <v>1227</v>
      </c>
      <c r="I15" s="59" t="s">
        <v>1228</v>
      </c>
      <c r="K15" s="59" t="s">
        <v>352</v>
      </c>
      <c r="L15" s="59" t="s">
        <v>352</v>
      </c>
      <c r="M15" s="59" t="s">
        <v>1230</v>
      </c>
      <c r="N15" s="59" t="s">
        <v>1080</v>
      </c>
      <c r="O15" s="59" t="s">
        <v>1082</v>
      </c>
      <c r="P15" s="59" t="s">
        <v>1231</v>
      </c>
      <c r="Q15" s="59" t="s">
        <v>1224</v>
      </c>
      <c r="R15" s="59" t="s">
        <v>1233</v>
      </c>
      <c r="S15" s="59" t="s">
        <v>1232</v>
      </c>
      <c r="T15" s="59" t="s">
        <v>1229</v>
      </c>
      <c r="U15" s="59" t="s">
        <v>1234</v>
      </c>
      <c r="W15" s="59" t="s">
        <v>849</v>
      </c>
      <c r="X15" s="59" t="s">
        <v>850</v>
      </c>
      <c r="Y15" s="59" t="s">
        <v>851</v>
      </c>
      <c r="Z15" s="59" t="s">
        <v>852</v>
      </c>
      <c r="AA15" s="59" t="s">
        <v>714</v>
      </c>
      <c r="AB15" s="59" t="s">
        <v>855</v>
      </c>
      <c r="AC15" s="59" t="s">
        <v>352</v>
      </c>
      <c r="AD15" s="59" t="s">
        <v>853</v>
      </c>
      <c r="AH15" s="59" t="s">
        <v>1235</v>
      </c>
      <c r="AL15" s="59" t="s">
        <v>829</v>
      </c>
      <c r="AM15" s="59"/>
      <c r="AP15" s="59" t="s">
        <v>854</v>
      </c>
    </row>
    <row r="16" spans="3:44" ht="238" hidden="1" x14ac:dyDescent="0.2">
      <c r="C16" s="67" t="s">
        <v>1280</v>
      </c>
      <c r="D16" s="59">
        <v>19663597</v>
      </c>
      <c r="H16" s="59" t="s">
        <v>1125</v>
      </c>
      <c r="I16" s="59" t="s">
        <v>1111</v>
      </c>
      <c r="K16" s="59" t="s">
        <v>352</v>
      </c>
      <c r="L16" s="59" t="s">
        <v>352</v>
      </c>
      <c r="M16" s="59" t="s">
        <v>1131</v>
      </c>
      <c r="N16" s="59" t="s">
        <v>1128</v>
      </c>
      <c r="O16" s="59" t="s">
        <v>1115</v>
      </c>
      <c r="P16" s="59" t="s">
        <v>1116</v>
      </c>
      <c r="Q16" s="59" t="s">
        <v>1083</v>
      </c>
      <c r="R16" s="59" t="s">
        <v>1130</v>
      </c>
      <c r="S16" s="59" t="s">
        <v>1129</v>
      </c>
      <c r="T16" s="59" t="s">
        <v>1127</v>
      </c>
      <c r="U16" s="59" t="s">
        <v>1132</v>
      </c>
      <c r="W16" s="59" t="s">
        <v>733</v>
      </c>
      <c r="X16" s="59" t="s">
        <v>734</v>
      </c>
      <c r="Z16" s="59" t="s">
        <v>721</v>
      </c>
      <c r="AA16" s="59" t="s">
        <v>382</v>
      </c>
      <c r="AB16" s="59" t="s">
        <v>735</v>
      </c>
      <c r="AC16" s="59" t="s">
        <v>352</v>
      </c>
      <c r="AD16" s="59" t="s">
        <v>736</v>
      </c>
      <c r="AH16" s="59" t="s">
        <v>654</v>
      </c>
      <c r="AL16" s="59" t="s">
        <v>1133</v>
      </c>
      <c r="AM16" s="59"/>
      <c r="AP16" s="59" t="s">
        <v>387</v>
      </c>
    </row>
    <row r="17" spans="3:43" ht="187" hidden="1" x14ac:dyDescent="0.2">
      <c r="C17" s="67" t="s">
        <v>1286</v>
      </c>
      <c r="D17" s="59">
        <v>20147716</v>
      </c>
      <c r="H17" s="59" t="s">
        <v>1176</v>
      </c>
      <c r="I17" s="59" t="s">
        <v>1177</v>
      </c>
      <c r="K17" s="59" t="s">
        <v>352</v>
      </c>
      <c r="L17" s="59" t="s">
        <v>352</v>
      </c>
      <c r="N17" s="59" t="s">
        <v>1114</v>
      </c>
      <c r="O17" s="59" t="s">
        <v>1115</v>
      </c>
      <c r="P17" s="59" t="s">
        <v>1179</v>
      </c>
      <c r="Q17" s="59" t="s">
        <v>1182</v>
      </c>
      <c r="R17" s="59" t="s">
        <v>1181</v>
      </c>
      <c r="S17" s="59" t="s">
        <v>1180</v>
      </c>
      <c r="U17" s="59" t="s">
        <v>1178</v>
      </c>
      <c r="W17" s="59" t="s">
        <v>711</v>
      </c>
      <c r="X17" s="59" t="s">
        <v>712</v>
      </c>
      <c r="Y17" s="59" t="s">
        <v>713</v>
      </c>
      <c r="Z17" s="59" t="s">
        <v>521</v>
      </c>
      <c r="AA17" s="59" t="s">
        <v>714</v>
      </c>
      <c r="AB17" s="59" t="s">
        <v>656</v>
      </c>
      <c r="AC17" s="59" t="s">
        <v>352</v>
      </c>
      <c r="AD17" s="59" t="s">
        <v>715</v>
      </c>
      <c r="AH17" s="59" t="s">
        <v>1183</v>
      </c>
      <c r="AL17" s="59" t="s">
        <v>720</v>
      </c>
      <c r="AM17" s="59"/>
      <c r="AN17" s="59" t="s">
        <v>721</v>
      </c>
      <c r="AP17" s="59" t="s">
        <v>723</v>
      </c>
      <c r="AQ17" s="59" t="s">
        <v>716</v>
      </c>
    </row>
    <row r="18" spans="3:43" ht="85" hidden="1" x14ac:dyDescent="0.2">
      <c r="C18" s="67" t="s">
        <v>1288</v>
      </c>
      <c r="D18" s="59">
        <v>21129762</v>
      </c>
      <c r="H18" s="59" t="s">
        <v>1197</v>
      </c>
      <c r="I18" s="59" t="s">
        <v>1196</v>
      </c>
      <c r="K18" s="59" t="s">
        <v>833</v>
      </c>
      <c r="L18" s="59" t="s">
        <v>833</v>
      </c>
      <c r="M18" s="59" t="s">
        <v>1215</v>
      </c>
      <c r="T18" s="59" t="s">
        <v>1195</v>
      </c>
      <c r="U18" s="59" t="s">
        <v>1194</v>
      </c>
      <c r="W18" s="59" t="s">
        <v>827</v>
      </c>
      <c r="X18" s="69" t="s">
        <v>828</v>
      </c>
      <c r="Y18" s="59" t="s">
        <v>352</v>
      </c>
      <c r="Z18" s="59" t="s">
        <v>1213</v>
      </c>
      <c r="AA18" s="59" t="s">
        <v>1198</v>
      </c>
      <c r="AB18" s="59" t="s">
        <v>831</v>
      </c>
      <c r="AC18" s="59" t="s">
        <v>352</v>
      </c>
      <c r="AD18" s="59" t="s">
        <v>830</v>
      </c>
      <c r="AH18" s="59" t="s">
        <v>833</v>
      </c>
      <c r="AL18" s="59" t="s">
        <v>1214</v>
      </c>
      <c r="AM18" s="59"/>
      <c r="AP18" s="59" t="s">
        <v>833</v>
      </c>
      <c r="AQ18" s="59" t="s">
        <v>832</v>
      </c>
    </row>
    <row r="19" spans="3:43" ht="170" hidden="1" x14ac:dyDescent="0.2">
      <c r="C19" s="67" t="s">
        <v>1295</v>
      </c>
      <c r="D19" s="67">
        <v>22573856</v>
      </c>
      <c r="E19" s="67"/>
      <c r="F19" s="67"/>
      <c r="G19" s="67"/>
      <c r="H19" s="59" t="s">
        <v>1261</v>
      </c>
      <c r="I19" s="59" t="s">
        <v>1262</v>
      </c>
      <c r="K19" s="59" t="s">
        <v>352</v>
      </c>
      <c r="N19" s="59" t="s">
        <v>1157</v>
      </c>
      <c r="O19" s="59" t="s">
        <v>1115</v>
      </c>
      <c r="P19" s="59" t="s">
        <v>1231</v>
      </c>
      <c r="Q19" s="59" t="s">
        <v>1224</v>
      </c>
      <c r="R19" s="59" t="s">
        <v>1085</v>
      </c>
      <c r="S19" s="59" t="s">
        <v>1265</v>
      </c>
      <c r="T19" s="59" t="s">
        <v>1266</v>
      </c>
      <c r="U19" s="59" t="s">
        <v>1264</v>
      </c>
      <c r="W19" s="59" t="s">
        <v>651</v>
      </c>
      <c r="X19" s="59" t="s">
        <v>652</v>
      </c>
      <c r="Y19" s="59" t="s">
        <v>655</v>
      </c>
      <c r="Z19" s="59" t="s">
        <v>653</v>
      </c>
      <c r="AA19" s="59" t="s">
        <v>654</v>
      </c>
      <c r="AB19" s="59" t="s">
        <v>656</v>
      </c>
      <c r="AC19" s="59" t="s">
        <v>352</v>
      </c>
      <c r="AD19" s="59" t="s">
        <v>657</v>
      </c>
      <c r="AH19" s="59" t="s">
        <v>1263</v>
      </c>
      <c r="AL19" s="59" t="s">
        <v>1267</v>
      </c>
      <c r="AM19" s="59"/>
      <c r="AN19" s="59" t="s">
        <v>659</v>
      </c>
      <c r="AP19" s="59" t="s">
        <v>658</v>
      </c>
    </row>
    <row r="20" spans="3:43" ht="323" hidden="1" x14ac:dyDescent="0.2">
      <c r="C20" s="67" t="s">
        <v>1284</v>
      </c>
      <c r="D20" s="59">
        <v>25233346</v>
      </c>
      <c r="H20" s="59" t="s">
        <v>1155</v>
      </c>
      <c r="I20" s="59" t="s">
        <v>1156</v>
      </c>
      <c r="K20" s="59" t="s">
        <v>352</v>
      </c>
      <c r="L20" s="59" t="s">
        <v>352</v>
      </c>
      <c r="M20" s="59" t="s">
        <v>1161</v>
      </c>
      <c r="N20" s="59" t="s">
        <v>1157</v>
      </c>
      <c r="O20" s="59" t="s">
        <v>1082</v>
      </c>
      <c r="P20" s="59" t="s">
        <v>1158</v>
      </c>
      <c r="Q20" s="59" t="s">
        <v>1159</v>
      </c>
      <c r="R20" s="59" t="s">
        <v>1165</v>
      </c>
      <c r="S20" s="59" t="s">
        <v>1160</v>
      </c>
      <c r="T20" s="59" t="s">
        <v>1164</v>
      </c>
      <c r="U20" s="59" t="s">
        <v>1162</v>
      </c>
      <c r="W20" s="59" t="s">
        <v>960</v>
      </c>
      <c r="Y20" s="70" t="s">
        <v>784</v>
      </c>
      <c r="Z20" s="59" t="s">
        <v>521</v>
      </c>
      <c r="AA20" s="59" t="s">
        <v>785</v>
      </c>
      <c r="AB20" s="59" t="s">
        <v>788</v>
      </c>
      <c r="AC20" s="59" t="s">
        <v>352</v>
      </c>
      <c r="AD20" s="59" t="s">
        <v>787</v>
      </c>
      <c r="AH20" s="59" t="s">
        <v>1163</v>
      </c>
      <c r="AL20" s="59" t="s">
        <v>1273</v>
      </c>
      <c r="AM20" s="59"/>
      <c r="AP20" s="59" t="s">
        <v>786</v>
      </c>
    </row>
    <row r="21" spans="3:43" ht="187" hidden="1" x14ac:dyDescent="0.2">
      <c r="C21" s="67" t="s">
        <v>1292</v>
      </c>
      <c r="D21" s="59">
        <v>25510715</v>
      </c>
      <c r="I21" s="59" t="s">
        <v>1243</v>
      </c>
      <c r="K21" s="59" t="s">
        <v>352</v>
      </c>
      <c r="L21" s="59" t="s">
        <v>352</v>
      </c>
      <c r="M21" s="59" t="s">
        <v>1240</v>
      </c>
      <c r="N21" s="59" t="s">
        <v>1157</v>
      </c>
      <c r="O21" s="59" t="s">
        <v>1115</v>
      </c>
      <c r="Q21" s="59" t="s">
        <v>1224</v>
      </c>
      <c r="R21" s="59" t="s">
        <v>1238</v>
      </c>
      <c r="S21" s="59" t="s">
        <v>1239</v>
      </c>
      <c r="T21" s="59" t="s">
        <v>1242</v>
      </c>
      <c r="U21" s="59" t="s">
        <v>1241</v>
      </c>
      <c r="W21" s="59" t="s">
        <v>866</v>
      </c>
      <c r="X21" s="59" t="s">
        <v>869</v>
      </c>
      <c r="Y21" s="59" t="s">
        <v>870</v>
      </c>
      <c r="Z21" s="59" t="s">
        <v>521</v>
      </c>
      <c r="AA21" s="59" t="s">
        <v>456</v>
      </c>
      <c r="AC21" s="59" t="s">
        <v>352</v>
      </c>
      <c r="AH21" s="59" t="s">
        <v>1244</v>
      </c>
      <c r="AL21" s="59" t="s">
        <v>1245</v>
      </c>
      <c r="AM21" s="59"/>
      <c r="AN21" s="69" t="s">
        <v>871</v>
      </c>
      <c r="AO21" s="69"/>
      <c r="AP21" s="59" t="s">
        <v>872</v>
      </c>
    </row>
    <row r="22" spans="3:43" ht="115" hidden="1" customHeight="1" x14ac:dyDescent="0.2">
      <c r="C22" s="67" t="s">
        <v>1293</v>
      </c>
      <c r="D22" s="59">
        <v>31436156</v>
      </c>
      <c r="H22" s="59" t="s">
        <v>1247</v>
      </c>
      <c r="I22" s="59" t="s">
        <v>1269</v>
      </c>
      <c r="K22" s="59" t="s">
        <v>352</v>
      </c>
      <c r="M22" s="59" t="s">
        <v>456</v>
      </c>
      <c r="N22" s="59" t="s">
        <v>456</v>
      </c>
      <c r="O22" s="59" t="s">
        <v>456</v>
      </c>
      <c r="P22" s="59" t="s">
        <v>456</v>
      </c>
      <c r="Q22" s="59" t="s">
        <v>456</v>
      </c>
      <c r="R22" s="59" t="s">
        <v>456</v>
      </c>
      <c r="S22" s="59" t="s">
        <v>456</v>
      </c>
      <c r="T22" s="59" t="s">
        <v>456</v>
      </c>
      <c r="U22" s="59" t="s">
        <v>412</v>
      </c>
      <c r="W22" s="59" t="s">
        <v>412</v>
      </c>
      <c r="X22" s="59" t="s">
        <v>401</v>
      </c>
      <c r="Y22" s="59" t="s">
        <v>404</v>
      </c>
      <c r="Z22" s="59" t="s">
        <v>403</v>
      </c>
      <c r="AA22" s="59" t="s">
        <v>547</v>
      </c>
      <c r="AB22" s="59" t="s">
        <v>543</v>
      </c>
      <c r="AC22" s="59" t="s">
        <v>382</v>
      </c>
      <c r="AD22" s="59" t="s">
        <v>408</v>
      </c>
      <c r="AH22" s="59" t="s">
        <v>1248</v>
      </c>
      <c r="AL22" s="59" t="s">
        <v>407</v>
      </c>
      <c r="AM22" s="59"/>
      <c r="AN22" s="59" t="s">
        <v>547</v>
      </c>
      <c r="AP22" s="59" t="s">
        <v>410</v>
      </c>
      <c r="AQ22" s="59" t="s">
        <v>609</v>
      </c>
    </row>
    <row r="23" spans="3:43" ht="238" hidden="1" x14ac:dyDescent="0.2">
      <c r="D23" s="59">
        <v>21255828</v>
      </c>
      <c r="K23" s="59" t="s">
        <v>352</v>
      </c>
      <c r="W23" s="59" t="s">
        <v>598</v>
      </c>
      <c r="X23" s="59" t="s">
        <v>600</v>
      </c>
      <c r="Y23" s="59" t="s">
        <v>601</v>
      </c>
      <c r="Z23" s="59" t="s">
        <v>602</v>
      </c>
      <c r="AA23" s="59" t="s">
        <v>603</v>
      </c>
      <c r="AC23" s="59" t="s">
        <v>604</v>
      </c>
      <c r="AD23" s="59" t="s">
        <v>605</v>
      </c>
      <c r="AL23" s="59"/>
      <c r="AM23" s="59"/>
      <c r="AN23" s="59" t="s">
        <v>606</v>
      </c>
      <c r="AP23" s="59" t="s">
        <v>607</v>
      </c>
      <c r="AQ23" s="59" t="s">
        <v>610</v>
      </c>
    </row>
    <row r="24" spans="3:43" ht="211" hidden="1" customHeight="1" x14ac:dyDescent="0.2">
      <c r="C24" s="59" t="s">
        <v>1296</v>
      </c>
      <c r="D24" s="59">
        <v>18186974</v>
      </c>
      <c r="Z24" s="59"/>
      <c r="AL24" s="59"/>
      <c r="AM24" s="59"/>
      <c r="AP24" s="59"/>
    </row>
    <row r="25" spans="3:43" ht="216" customHeight="1" x14ac:dyDescent="0.2">
      <c r="C25" s="59" t="s">
        <v>1396</v>
      </c>
      <c r="D25" s="59">
        <v>21049059</v>
      </c>
      <c r="E25" s="59" t="s">
        <v>134</v>
      </c>
      <c r="F25" s="59" t="s">
        <v>1318</v>
      </c>
      <c r="G25" s="59" t="s">
        <v>793</v>
      </c>
      <c r="H25" s="59" t="s">
        <v>1340</v>
      </c>
      <c r="I25" s="59" t="s">
        <v>1341</v>
      </c>
      <c r="K25" s="59" t="s">
        <v>382</v>
      </c>
      <c r="L25" s="59" t="s">
        <v>1401</v>
      </c>
      <c r="M25" s="59" t="s">
        <v>1402</v>
      </c>
      <c r="N25" s="59" t="s">
        <v>1343</v>
      </c>
      <c r="O25" s="59" t="s">
        <v>1344</v>
      </c>
      <c r="P25" s="59" t="s">
        <v>1345</v>
      </c>
      <c r="Q25" s="59" t="s">
        <v>456</v>
      </c>
      <c r="R25" s="59" t="s">
        <v>1346</v>
      </c>
      <c r="S25" s="59" t="s">
        <v>1347</v>
      </c>
      <c r="T25" s="59" t="s">
        <v>1342</v>
      </c>
      <c r="U25" s="59" t="s">
        <v>1348</v>
      </c>
      <c r="V25" s="69" t="s">
        <v>1365</v>
      </c>
      <c r="W25" s="59" t="s">
        <v>1002</v>
      </c>
      <c r="Z25" s="59" t="s">
        <v>1349</v>
      </c>
      <c r="AA25" s="59" t="s">
        <v>986</v>
      </c>
      <c r="AB25" s="59" t="s">
        <v>987</v>
      </c>
      <c r="AC25" s="59" t="s">
        <v>352</v>
      </c>
      <c r="AE25" s="59" t="s">
        <v>352</v>
      </c>
      <c r="AF25" s="59" t="s">
        <v>1359</v>
      </c>
      <c r="AG25" s="59" t="s">
        <v>1350</v>
      </c>
      <c r="AH25" s="59" t="s">
        <v>456</v>
      </c>
      <c r="AI25" s="59">
        <v>6</v>
      </c>
      <c r="AJ25" s="59" t="s">
        <v>352</v>
      </c>
      <c r="AK25" s="59" t="s">
        <v>1354</v>
      </c>
      <c r="AL25" s="59" t="s">
        <v>1374</v>
      </c>
      <c r="AM25" s="59" t="s">
        <v>1353</v>
      </c>
      <c r="AN25" s="59" t="s">
        <v>977</v>
      </c>
      <c r="AO25" s="59" t="s">
        <v>352</v>
      </c>
      <c r="AP25" s="59" t="s">
        <v>1352</v>
      </c>
    </row>
    <row r="26" spans="3:43" ht="93" customHeight="1" x14ac:dyDescent="0.2">
      <c r="C26" s="59" t="s">
        <v>1376</v>
      </c>
      <c r="D26" s="59">
        <v>24454970</v>
      </c>
      <c r="E26" s="59" t="s">
        <v>69</v>
      </c>
      <c r="F26" s="59" t="s">
        <v>1317</v>
      </c>
      <c r="G26" s="59" t="s">
        <v>793</v>
      </c>
      <c r="H26" s="69" t="s">
        <v>1371</v>
      </c>
      <c r="I26" s="59" t="s">
        <v>1370</v>
      </c>
      <c r="K26" s="59" t="s">
        <v>352</v>
      </c>
      <c r="L26" s="59" t="s">
        <v>1366</v>
      </c>
      <c r="M26" s="59" t="s">
        <v>1402</v>
      </c>
      <c r="N26" s="59" t="s">
        <v>1372</v>
      </c>
      <c r="O26" s="59" t="s">
        <v>1344</v>
      </c>
      <c r="R26" s="59" t="s">
        <v>1346</v>
      </c>
      <c r="S26" s="59" t="s">
        <v>1347</v>
      </c>
      <c r="T26" s="59" t="s">
        <v>1368</v>
      </c>
      <c r="U26" s="59" t="s">
        <v>1369</v>
      </c>
      <c r="V26" s="59" t="s">
        <v>1367</v>
      </c>
      <c r="W26" s="59" t="s">
        <v>963</v>
      </c>
      <c r="Z26" s="59" t="s">
        <v>477</v>
      </c>
      <c r="AA26" s="59" t="s">
        <v>714</v>
      </c>
      <c r="AB26" s="59" t="s">
        <v>964</v>
      </c>
      <c r="AC26" s="59" t="s">
        <v>352</v>
      </c>
      <c r="AE26" s="59" t="s">
        <v>352</v>
      </c>
      <c r="AF26" s="59" t="s">
        <v>1359</v>
      </c>
      <c r="AG26" s="69" t="s">
        <v>1373</v>
      </c>
      <c r="AH26" s="59" t="s">
        <v>456</v>
      </c>
      <c r="AI26" s="59" t="s">
        <v>1387</v>
      </c>
      <c r="AJ26" s="59" t="s">
        <v>352</v>
      </c>
      <c r="AK26" s="59" t="s">
        <v>1354</v>
      </c>
      <c r="AL26" s="59" t="s">
        <v>1374</v>
      </c>
      <c r="AM26" s="59" t="s">
        <v>1375</v>
      </c>
      <c r="AN26" s="59" t="s">
        <v>606</v>
      </c>
      <c r="AO26" s="59" t="s">
        <v>352</v>
      </c>
      <c r="AP26" s="59" t="s">
        <v>965</v>
      </c>
    </row>
    <row r="27" spans="3:43" ht="108" customHeight="1" x14ac:dyDescent="0.2">
      <c r="C27" s="67" t="s">
        <v>1395</v>
      </c>
      <c r="D27" s="59">
        <v>30188978</v>
      </c>
      <c r="E27" s="59" t="s">
        <v>260</v>
      </c>
      <c r="F27" s="59" t="s">
        <v>1319</v>
      </c>
      <c r="G27" s="59" t="s">
        <v>793</v>
      </c>
      <c r="H27" s="59" t="s">
        <v>1355</v>
      </c>
      <c r="I27" s="59" t="s">
        <v>1384</v>
      </c>
      <c r="J27" s="59" t="s">
        <v>1377</v>
      </c>
      <c r="K27" s="59" t="s">
        <v>352</v>
      </c>
      <c r="L27" s="59" t="s">
        <v>1400</v>
      </c>
      <c r="M27" s="59" t="s">
        <v>1402</v>
      </c>
      <c r="N27" s="59" t="s">
        <v>1343</v>
      </c>
      <c r="O27" s="59" t="s">
        <v>1380</v>
      </c>
      <c r="P27" s="59" t="s">
        <v>1345</v>
      </c>
      <c r="R27" s="59" t="s">
        <v>1382</v>
      </c>
      <c r="S27" s="59" t="s">
        <v>1381</v>
      </c>
      <c r="T27" s="59" t="s">
        <v>1379</v>
      </c>
      <c r="U27" s="59" t="s">
        <v>1378</v>
      </c>
      <c r="V27" s="59" t="s">
        <v>1383</v>
      </c>
      <c r="W27" s="59" t="s">
        <v>1030</v>
      </c>
      <c r="Z27" s="59" t="s">
        <v>1031</v>
      </c>
      <c r="AA27" s="59" t="s">
        <v>1032</v>
      </c>
      <c r="AC27" s="59" t="s">
        <v>352</v>
      </c>
      <c r="AE27" s="59" t="s">
        <v>456</v>
      </c>
      <c r="AG27" s="59" t="s">
        <v>1385</v>
      </c>
      <c r="AH27" s="59" t="s">
        <v>456</v>
      </c>
      <c r="AI27" s="59" t="s">
        <v>1388</v>
      </c>
      <c r="AJ27" s="59" t="s">
        <v>382</v>
      </c>
      <c r="AK27" s="59" t="s">
        <v>1354</v>
      </c>
      <c r="AL27" s="59" t="s">
        <v>1389</v>
      </c>
      <c r="AM27" s="59" t="s">
        <v>1390</v>
      </c>
      <c r="AN27" s="59" t="s">
        <v>456</v>
      </c>
      <c r="AO27" s="59" t="s">
        <v>352</v>
      </c>
      <c r="AP27" s="59" t="s">
        <v>1391</v>
      </c>
      <c r="AQ27" s="59" t="s">
        <v>1033</v>
      </c>
    </row>
    <row r="28" spans="3:43" ht="132" customHeight="1" x14ac:dyDescent="0.2">
      <c r="C28" s="59" t="s">
        <v>1394</v>
      </c>
      <c r="D28" s="59">
        <v>21049063</v>
      </c>
      <c r="E28" s="59" t="s">
        <v>134</v>
      </c>
      <c r="F28" s="59" t="s">
        <v>1318</v>
      </c>
      <c r="G28" s="59" t="s">
        <v>793</v>
      </c>
      <c r="H28" s="59" t="s">
        <v>1355</v>
      </c>
      <c r="I28" s="59" t="s">
        <v>1356</v>
      </c>
      <c r="J28" s="59" t="s">
        <v>456</v>
      </c>
      <c r="K28" s="59" t="s">
        <v>352</v>
      </c>
      <c r="L28" s="59" t="s">
        <v>1366</v>
      </c>
      <c r="M28" s="59" t="s">
        <v>1402</v>
      </c>
      <c r="N28" s="59" t="s">
        <v>1343</v>
      </c>
      <c r="O28" s="59" t="s">
        <v>1344</v>
      </c>
      <c r="P28" s="59" t="s">
        <v>1345</v>
      </c>
      <c r="Q28" s="59" t="s">
        <v>456</v>
      </c>
      <c r="R28" s="59" t="s">
        <v>1357</v>
      </c>
      <c r="S28" s="59" t="s">
        <v>1347</v>
      </c>
      <c r="T28" s="59" t="s">
        <v>1342</v>
      </c>
      <c r="U28" s="59" t="s">
        <v>1348</v>
      </c>
      <c r="V28" s="59" t="s">
        <v>456</v>
      </c>
      <c r="W28" s="59" t="s">
        <v>975</v>
      </c>
      <c r="Z28" s="59" t="s">
        <v>1358</v>
      </c>
      <c r="AA28" s="59" t="s">
        <v>456</v>
      </c>
      <c r="AB28" s="59" t="s">
        <v>976</v>
      </c>
      <c r="AC28" s="59" t="s">
        <v>352</v>
      </c>
      <c r="AE28" s="59" t="s">
        <v>1411</v>
      </c>
      <c r="AF28" s="59" t="s">
        <v>1359</v>
      </c>
      <c r="AG28" s="59" t="s">
        <v>1360</v>
      </c>
      <c r="AH28" s="66" t="s">
        <v>1361</v>
      </c>
      <c r="AI28" s="59" t="s">
        <v>1387</v>
      </c>
      <c r="AJ28" s="59" t="s">
        <v>352</v>
      </c>
      <c r="AK28" s="59" t="s">
        <v>352</v>
      </c>
      <c r="AL28" s="59" t="s">
        <v>1362</v>
      </c>
      <c r="AM28" s="59" t="s">
        <v>1353</v>
      </c>
      <c r="AN28" s="59" t="s">
        <v>977</v>
      </c>
      <c r="AO28" s="59" t="s">
        <v>352</v>
      </c>
      <c r="AP28" s="59" t="s">
        <v>1363</v>
      </c>
      <c r="AQ28" s="59" t="s">
        <v>456</v>
      </c>
    </row>
    <row r="29" spans="3:43" ht="122" customHeight="1" x14ac:dyDescent="0.2">
      <c r="C29" s="59" t="s">
        <v>1393</v>
      </c>
      <c r="D29" s="59">
        <v>22724029</v>
      </c>
      <c r="E29" s="59" t="s">
        <v>134</v>
      </c>
      <c r="F29" s="59" t="s">
        <v>1318</v>
      </c>
      <c r="G29" s="59" t="s">
        <v>793</v>
      </c>
      <c r="H29" s="59" t="s">
        <v>1340</v>
      </c>
      <c r="I29" s="59" t="s">
        <v>1341</v>
      </c>
      <c r="J29" s="69" t="s">
        <v>456</v>
      </c>
      <c r="K29" s="59" t="s">
        <v>382</v>
      </c>
      <c r="L29" s="59" t="s">
        <v>985</v>
      </c>
      <c r="M29" s="59" t="s">
        <v>1402</v>
      </c>
      <c r="N29" s="59" t="s">
        <v>1343</v>
      </c>
      <c r="O29" s="59" t="s">
        <v>1344</v>
      </c>
      <c r="P29" s="59" t="s">
        <v>1345</v>
      </c>
      <c r="Q29" s="59" t="s">
        <v>456</v>
      </c>
      <c r="R29" s="59" t="s">
        <v>1346</v>
      </c>
      <c r="S29" s="59" t="s">
        <v>1347</v>
      </c>
      <c r="T29" s="59" t="s">
        <v>1342</v>
      </c>
      <c r="U29" s="59" t="s">
        <v>1348</v>
      </c>
      <c r="V29" s="69" t="s">
        <v>1365</v>
      </c>
      <c r="W29" s="59" t="s">
        <v>1002</v>
      </c>
      <c r="Z29" s="59" t="s">
        <v>1349</v>
      </c>
      <c r="AA29" s="59" t="s">
        <v>986</v>
      </c>
      <c r="AB29" s="59" t="s">
        <v>987</v>
      </c>
      <c r="AC29" s="59" t="s">
        <v>352</v>
      </c>
      <c r="AE29" s="59" t="s">
        <v>352</v>
      </c>
      <c r="AF29" s="59" t="s">
        <v>1359</v>
      </c>
      <c r="AG29" s="59" t="s">
        <v>1350</v>
      </c>
      <c r="AH29" s="66" t="s">
        <v>1361</v>
      </c>
      <c r="AI29" s="59" t="s">
        <v>1387</v>
      </c>
      <c r="AJ29" s="59" t="s">
        <v>352</v>
      </c>
      <c r="AK29" s="59" t="s">
        <v>1354</v>
      </c>
      <c r="AL29" s="59" t="s">
        <v>1351</v>
      </c>
      <c r="AM29" s="59" t="s">
        <v>1353</v>
      </c>
      <c r="AN29" s="59" t="s">
        <v>977</v>
      </c>
      <c r="AO29" s="59" t="s">
        <v>352</v>
      </c>
      <c r="AP29" s="59" t="s">
        <v>1352</v>
      </c>
    </row>
    <row r="30" spans="3:43" ht="103" customHeight="1" x14ac:dyDescent="0.2">
      <c r="C30" s="59" t="s">
        <v>1299</v>
      </c>
      <c r="D30" s="59">
        <v>11816442</v>
      </c>
      <c r="E30" s="59" t="s">
        <v>456</v>
      </c>
      <c r="F30" s="59" t="s">
        <v>1320</v>
      </c>
      <c r="G30" s="59" t="s">
        <v>793</v>
      </c>
      <c r="H30" s="59" t="s">
        <v>1409</v>
      </c>
      <c r="I30" s="59" t="s">
        <v>1414</v>
      </c>
      <c r="J30" s="59" t="s">
        <v>1415</v>
      </c>
      <c r="K30" s="59" t="s">
        <v>382</v>
      </c>
      <c r="L30" s="59" t="s">
        <v>1052</v>
      </c>
      <c r="M30" s="59" t="s">
        <v>1407</v>
      </c>
      <c r="N30" s="59" t="s">
        <v>456</v>
      </c>
      <c r="O30" s="59" t="s">
        <v>456</v>
      </c>
      <c r="P30" s="59" t="s">
        <v>456</v>
      </c>
      <c r="Q30" s="59" t="s">
        <v>456</v>
      </c>
      <c r="R30" s="59" t="s">
        <v>456</v>
      </c>
      <c r="S30" s="59" t="s">
        <v>456</v>
      </c>
      <c r="T30" s="59" t="s">
        <v>456</v>
      </c>
      <c r="U30" s="59" t="s">
        <v>456</v>
      </c>
      <c r="V30" s="59" t="s">
        <v>456</v>
      </c>
      <c r="W30" s="59" t="s">
        <v>1051</v>
      </c>
      <c r="Z30" s="59" t="s">
        <v>1039</v>
      </c>
      <c r="AC30" s="59" t="s">
        <v>1416</v>
      </c>
      <c r="AD30" s="59" t="s">
        <v>352</v>
      </c>
      <c r="AE30" s="59" t="s">
        <v>352</v>
      </c>
      <c r="AF30" s="59" t="s">
        <v>1410</v>
      </c>
      <c r="AG30" s="59" t="s">
        <v>1417</v>
      </c>
      <c r="AH30" s="59" t="s">
        <v>456</v>
      </c>
      <c r="AI30" s="59" t="s">
        <v>1426</v>
      </c>
      <c r="AJ30" s="59" t="s">
        <v>382</v>
      </c>
      <c r="AK30" s="59" t="s">
        <v>1354</v>
      </c>
      <c r="AL30" s="59" t="s">
        <v>1053</v>
      </c>
      <c r="AM30" s="59" t="s">
        <v>352</v>
      </c>
      <c r="AN30" s="59" t="s">
        <v>456</v>
      </c>
      <c r="AO30" s="59" t="s">
        <v>352</v>
      </c>
      <c r="AP30" s="59" t="s">
        <v>456</v>
      </c>
      <c r="AQ30" s="59" t="s">
        <v>456</v>
      </c>
    </row>
    <row r="31" spans="3:43" ht="119" x14ac:dyDescent="0.2">
      <c r="C31" s="59" t="s">
        <v>1297</v>
      </c>
      <c r="D31" s="59">
        <v>16804852</v>
      </c>
      <c r="F31" s="59" t="s">
        <v>1321</v>
      </c>
      <c r="G31" s="59" t="s">
        <v>1017</v>
      </c>
      <c r="H31" s="59" t="s">
        <v>1420</v>
      </c>
      <c r="I31" s="59" t="s">
        <v>1421</v>
      </c>
      <c r="J31" s="59" t="s">
        <v>1422</v>
      </c>
      <c r="K31" s="59" t="s">
        <v>382</v>
      </c>
      <c r="L31" s="59" t="s">
        <v>1015</v>
      </c>
      <c r="M31" s="59" t="s">
        <v>456</v>
      </c>
      <c r="N31" s="59" t="s">
        <v>456</v>
      </c>
      <c r="O31" s="59" t="s">
        <v>456</v>
      </c>
      <c r="P31" s="59" t="s">
        <v>456</v>
      </c>
      <c r="Q31" s="59" t="s">
        <v>456</v>
      </c>
      <c r="R31" s="59" t="s">
        <v>456</v>
      </c>
      <c r="S31" s="59" t="s">
        <v>456</v>
      </c>
      <c r="T31" s="59" t="s">
        <v>456</v>
      </c>
      <c r="U31" s="59" t="s">
        <v>1419</v>
      </c>
      <c r="V31" s="59" t="s">
        <v>456</v>
      </c>
      <c r="W31" s="59" t="s">
        <v>1016</v>
      </c>
      <c r="Z31" s="59" t="s">
        <v>1423</v>
      </c>
      <c r="AA31" s="59" t="s">
        <v>1018</v>
      </c>
      <c r="AB31" s="59" t="s">
        <v>1019</v>
      </c>
      <c r="AC31" s="59" t="s">
        <v>1424</v>
      </c>
      <c r="AE31" s="59" t="s">
        <v>352</v>
      </c>
      <c r="AF31" s="59" t="s">
        <v>1410</v>
      </c>
      <c r="AG31" s="59" t="s">
        <v>1425</v>
      </c>
      <c r="AH31" s="59" t="s">
        <v>456</v>
      </c>
      <c r="AI31" s="59" t="s">
        <v>1426</v>
      </c>
      <c r="AJ31" s="59" t="s">
        <v>382</v>
      </c>
      <c r="AK31" s="59" t="s">
        <v>352</v>
      </c>
      <c r="AL31" s="59" t="s">
        <v>1427</v>
      </c>
      <c r="AM31" s="59" t="s">
        <v>352</v>
      </c>
      <c r="AN31" s="59" t="s">
        <v>865</v>
      </c>
      <c r="AO31" s="59" t="s">
        <v>352</v>
      </c>
      <c r="AP31" s="59" t="s">
        <v>1020</v>
      </c>
      <c r="AQ31" s="59" t="s">
        <v>456</v>
      </c>
    </row>
    <row r="32" spans="3:43" ht="140" customHeight="1" x14ac:dyDescent="0.2">
      <c r="C32" s="59" t="s">
        <v>1298</v>
      </c>
      <c r="D32" s="59">
        <v>10886792</v>
      </c>
      <c r="E32" s="59" t="s">
        <v>456</v>
      </c>
      <c r="F32" s="59" t="s">
        <v>1320</v>
      </c>
      <c r="G32" s="59" t="s">
        <v>793</v>
      </c>
      <c r="H32" s="59" t="s">
        <v>1409</v>
      </c>
      <c r="I32" s="59" t="s">
        <v>1405</v>
      </c>
      <c r="J32" s="59" t="s">
        <v>1406</v>
      </c>
      <c r="K32" s="59" t="s">
        <v>456</v>
      </c>
      <c r="L32" s="59" t="s">
        <v>456</v>
      </c>
      <c r="M32" s="59" t="s">
        <v>1407</v>
      </c>
      <c r="N32" s="59" t="s">
        <v>456</v>
      </c>
      <c r="O32" s="59" t="s">
        <v>456</v>
      </c>
      <c r="P32" s="59" t="s">
        <v>456</v>
      </c>
      <c r="Q32" s="59" t="s">
        <v>456</v>
      </c>
      <c r="R32" s="59" t="s">
        <v>456</v>
      </c>
      <c r="S32" s="59" t="s">
        <v>456</v>
      </c>
      <c r="T32" s="59" t="s">
        <v>456</v>
      </c>
      <c r="U32" s="59" t="s">
        <v>456</v>
      </c>
      <c r="V32" s="59" t="s">
        <v>1408</v>
      </c>
      <c r="W32" s="59" t="s">
        <v>1038</v>
      </c>
      <c r="Z32" s="59" t="s">
        <v>1039</v>
      </c>
      <c r="AC32" s="59" t="s">
        <v>352</v>
      </c>
      <c r="AD32" s="59" t="s">
        <v>352</v>
      </c>
      <c r="AE32" s="59" t="s">
        <v>352</v>
      </c>
      <c r="AF32" s="59" t="s">
        <v>1410</v>
      </c>
      <c r="AG32" s="59" t="s">
        <v>1413</v>
      </c>
      <c r="AH32" s="59" t="s">
        <v>456</v>
      </c>
      <c r="AI32" s="59" t="s">
        <v>1426</v>
      </c>
      <c r="AJ32" s="59" t="s">
        <v>382</v>
      </c>
      <c r="AK32" s="59" t="s">
        <v>1354</v>
      </c>
      <c r="AL32" s="59" t="s">
        <v>1412</v>
      </c>
      <c r="AM32" s="59" t="s">
        <v>352</v>
      </c>
      <c r="AN32" s="59" t="s">
        <v>456</v>
      </c>
      <c r="AO32" s="59" t="s">
        <v>352</v>
      </c>
      <c r="AP32" s="59" t="s">
        <v>456</v>
      </c>
      <c r="AQ32" s="59" t="s">
        <v>456</v>
      </c>
    </row>
    <row r="33" spans="3:43" ht="120" customHeight="1" x14ac:dyDescent="0.2">
      <c r="C33" s="59" t="s">
        <v>1392</v>
      </c>
      <c r="D33" s="59">
        <v>27627654</v>
      </c>
      <c r="F33" s="59" t="s">
        <v>1322</v>
      </c>
      <c r="G33" s="59" t="s">
        <v>793</v>
      </c>
      <c r="H33" s="59" t="s">
        <v>1355</v>
      </c>
      <c r="I33" s="59" t="s">
        <v>1341</v>
      </c>
      <c r="K33" s="59" t="s">
        <v>352</v>
      </c>
      <c r="L33" s="59" t="s">
        <v>1404</v>
      </c>
      <c r="N33" s="59" t="s">
        <v>1343</v>
      </c>
      <c r="O33" s="59" t="s">
        <v>1344</v>
      </c>
      <c r="P33" s="59" t="s">
        <v>1345</v>
      </c>
      <c r="R33" s="59" t="s">
        <v>1357</v>
      </c>
      <c r="S33" s="59" t="s">
        <v>1397</v>
      </c>
      <c r="T33" s="59" t="s">
        <v>1399</v>
      </c>
      <c r="U33" s="59" t="s">
        <v>1398</v>
      </c>
      <c r="V33" s="59" t="s">
        <v>456</v>
      </c>
      <c r="W33" s="59" t="s">
        <v>1064</v>
      </c>
      <c r="Z33" s="59" t="s">
        <v>1065</v>
      </c>
      <c r="AA33" s="59" t="s">
        <v>1066</v>
      </c>
      <c r="AC33" s="59" t="s">
        <v>352</v>
      </c>
      <c r="AD33" s="59" t="s">
        <v>352</v>
      </c>
      <c r="AE33" s="59" t="s">
        <v>352</v>
      </c>
      <c r="AF33" s="59" t="s">
        <v>1428</v>
      </c>
      <c r="AG33" s="59" t="s">
        <v>456</v>
      </c>
      <c r="AH33" s="69" t="s">
        <v>1403</v>
      </c>
      <c r="AI33" s="59" t="s">
        <v>556</v>
      </c>
      <c r="AJ33" s="59" t="s">
        <v>382</v>
      </c>
      <c r="AK33" s="59" t="s">
        <v>1354</v>
      </c>
      <c r="AL33" s="59" t="s">
        <v>1067</v>
      </c>
      <c r="AM33" s="59" t="s">
        <v>1390</v>
      </c>
      <c r="AO33" s="59" t="s">
        <v>352</v>
      </c>
      <c r="AP33" s="59" t="s">
        <v>1068</v>
      </c>
      <c r="AQ33" s="59" t="s">
        <v>456</v>
      </c>
    </row>
    <row r="35" spans="3:43" x14ac:dyDescent="0.2">
      <c r="C35" s="42" t="s">
        <v>1301</v>
      </c>
    </row>
    <row r="36" spans="3:43" x14ac:dyDescent="0.2">
      <c r="C36" s="42" t="s">
        <v>1305</v>
      </c>
    </row>
    <row r="37" spans="3:43" x14ac:dyDescent="0.2">
      <c r="C37" s="42" t="s">
        <v>1330</v>
      </c>
    </row>
  </sheetData>
  <phoneticPr fontId="7" type="noConversion"/>
  <dataValidations disablePrompts="1" count="1">
    <dataValidation type="list" allowBlank="1" showInputMessage="1" showErrorMessage="1" sqref="D3:J5" xr:uid="{CD743533-6DB6-40C1-8422-8111A334C670}">
      <formula1>Ref_ID</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6B18-3C13-6E47-861D-3C8CAA9A7F60}">
  <dimension ref="B1:AM32"/>
  <sheetViews>
    <sheetView zoomScale="91" workbookViewId="0">
      <pane xSplit="5" ySplit="3" topLeftCell="F23" activePane="bottomRight" state="frozen"/>
      <selection pane="topRight" activeCell="D1" sqref="D1"/>
      <selection pane="bottomLeft" activeCell="A4" sqref="A4"/>
      <selection pane="bottomRight" activeCell="F34" sqref="F34"/>
    </sheetView>
  </sheetViews>
  <sheetFormatPr baseColWidth="10" defaultColWidth="10.83203125" defaultRowHeight="16" x14ac:dyDescent="0.2"/>
  <cols>
    <col min="1" max="1" width="10.83203125" style="35"/>
    <col min="2" max="3" width="16.1640625" style="35" customWidth="1"/>
    <col min="4" max="4" width="15.1640625" style="59" customWidth="1"/>
    <col min="5" max="5" width="9.33203125" style="35" bestFit="1" customWidth="1"/>
    <col min="6" max="6" width="26" style="34" customWidth="1"/>
    <col min="7" max="7" width="15.6640625" style="35" customWidth="1"/>
    <col min="8" max="8" width="16.33203125" style="35" customWidth="1"/>
    <col min="9" max="14" width="25.83203125" style="59" customWidth="1"/>
    <col min="15" max="17" width="26.83203125" style="34" customWidth="1"/>
    <col min="18" max="18" width="29.33203125" style="35" customWidth="1"/>
    <col min="19" max="20" width="35.1640625" style="34" customWidth="1"/>
    <col min="21" max="24" width="35.1640625" style="35" customWidth="1"/>
    <col min="25" max="25" width="44" style="35" customWidth="1"/>
    <col min="26" max="28" width="32" style="35" customWidth="1"/>
    <col min="29" max="30" width="31.83203125" customWidth="1"/>
    <col min="31" max="35" width="43.5" style="35" customWidth="1"/>
    <col min="36" max="36" width="43.83203125" style="35" customWidth="1"/>
    <col min="37" max="37" width="34.5" style="34" customWidth="1"/>
    <col min="38" max="38" width="36.5" style="34" customWidth="1"/>
    <col min="39" max="16384" width="10.83203125" style="35"/>
  </cols>
  <sheetData>
    <row r="1" spans="2:39" x14ac:dyDescent="0.2">
      <c r="R1" s="34"/>
      <c r="Y1" s="34"/>
      <c r="Z1" s="34"/>
      <c r="AA1" s="34"/>
      <c r="AB1" s="34"/>
      <c r="AC1" s="34"/>
      <c r="AD1" s="34"/>
      <c r="AE1" s="34"/>
      <c r="AF1" s="34"/>
      <c r="AG1" s="34"/>
      <c r="AH1" s="34"/>
      <c r="AI1" s="34"/>
      <c r="AJ1" s="34"/>
      <c r="AL1" s="35"/>
    </row>
    <row r="2" spans="2:39" ht="17" x14ac:dyDescent="0.2">
      <c r="B2" s="38"/>
      <c r="C2" s="38"/>
      <c r="D2" s="60"/>
      <c r="E2" s="38"/>
      <c r="F2" s="41"/>
      <c r="G2" s="38"/>
      <c r="H2" s="38"/>
      <c r="I2" s="60"/>
      <c r="J2" s="60"/>
      <c r="K2" s="60"/>
      <c r="L2" s="60"/>
      <c r="M2" s="60"/>
      <c r="N2" s="60"/>
      <c r="O2" s="41"/>
      <c r="P2" s="41" t="s">
        <v>664</v>
      </c>
      <c r="Q2" s="41" t="s">
        <v>664</v>
      </c>
      <c r="R2" s="41"/>
      <c r="S2" s="52" t="s">
        <v>665</v>
      </c>
      <c r="T2" s="41"/>
      <c r="U2" s="38"/>
      <c r="V2" s="38"/>
      <c r="W2" s="38"/>
      <c r="X2" s="38"/>
      <c r="Y2" s="52" t="s">
        <v>774</v>
      </c>
      <c r="Z2" s="41"/>
      <c r="AA2" s="41"/>
      <c r="AB2" s="41"/>
      <c r="AC2" s="41"/>
      <c r="AD2" s="41"/>
      <c r="AE2" s="41"/>
      <c r="AF2" s="41"/>
      <c r="AG2" s="41"/>
      <c r="AH2" s="41"/>
      <c r="AI2" s="41"/>
      <c r="AJ2" s="52" t="s">
        <v>675</v>
      </c>
      <c r="AK2" s="41"/>
      <c r="AL2" s="35"/>
    </row>
    <row r="3" spans="2:39" ht="51" x14ac:dyDescent="0.2">
      <c r="B3" s="35" t="s">
        <v>1</v>
      </c>
      <c r="C3" s="35" t="s">
        <v>1202</v>
      </c>
      <c r="D3" s="59" t="s">
        <v>1073</v>
      </c>
      <c r="E3" s="35" t="s">
        <v>351</v>
      </c>
      <c r="F3" s="50" t="s">
        <v>661</v>
      </c>
      <c r="G3" s="51" t="s">
        <v>662</v>
      </c>
      <c r="H3" s="51" t="s">
        <v>349</v>
      </c>
      <c r="I3" s="59" t="s">
        <v>892</v>
      </c>
      <c r="J3" s="59" t="s">
        <v>891</v>
      </c>
      <c r="K3" s="59" t="s">
        <v>923</v>
      </c>
      <c r="L3" s="59" t="s">
        <v>924</v>
      </c>
      <c r="M3" s="59" t="s">
        <v>921</v>
      </c>
      <c r="N3" s="59" t="s">
        <v>922</v>
      </c>
      <c r="O3" s="34" t="s">
        <v>558</v>
      </c>
      <c r="P3" s="34" t="s">
        <v>931</v>
      </c>
      <c r="Q3" s="34" t="s">
        <v>663</v>
      </c>
      <c r="R3" s="34" t="s">
        <v>941</v>
      </c>
      <c r="S3" s="34" t="s">
        <v>668</v>
      </c>
      <c r="T3" s="34" t="s">
        <v>959</v>
      </c>
      <c r="U3" s="34" t="s">
        <v>669</v>
      </c>
      <c r="V3" s="34" t="s">
        <v>666</v>
      </c>
      <c r="W3" s="34" t="s">
        <v>667</v>
      </c>
      <c r="X3" s="34" t="s">
        <v>999</v>
      </c>
      <c r="Y3" s="34" t="s">
        <v>775</v>
      </c>
      <c r="Z3" s="34" t="s">
        <v>776</v>
      </c>
      <c r="AA3" s="34" t="s">
        <v>777</v>
      </c>
      <c r="AB3" s="34" t="s">
        <v>950</v>
      </c>
      <c r="AC3" s="34" t="s">
        <v>778</v>
      </c>
      <c r="AD3" s="34" t="s">
        <v>779</v>
      </c>
      <c r="AE3" s="34" t="s">
        <v>670</v>
      </c>
      <c r="AF3" s="34" t="s">
        <v>671</v>
      </c>
      <c r="AG3" s="34" t="s">
        <v>672</v>
      </c>
      <c r="AH3" s="34" t="s">
        <v>683</v>
      </c>
      <c r="AI3" s="34" t="s">
        <v>673</v>
      </c>
      <c r="AJ3" s="34" t="s">
        <v>549</v>
      </c>
      <c r="AK3" s="34" t="s">
        <v>393</v>
      </c>
      <c r="AL3" s="34" t="s">
        <v>553</v>
      </c>
    </row>
    <row r="4" spans="2:39" ht="54" hidden="1" customHeight="1" x14ac:dyDescent="0.2">
      <c r="B4" s="35" t="s">
        <v>67</v>
      </c>
      <c r="D4" s="59" t="s">
        <v>962</v>
      </c>
      <c r="E4" s="35">
        <v>24454970</v>
      </c>
      <c r="F4" s="34" t="e">
        <f>_xlfn.XLOOKUP(Outcome[[#This Row],[Ref ID]],#REF!,#REF!, "-")</f>
        <v>#REF!</v>
      </c>
      <c r="G4" s="35" t="e">
        <f>_xlfn.XLOOKUP(Outcome[[#This Row],[Ref ID]],#REF!,#REF!, "-")</f>
        <v>#REF!</v>
      </c>
      <c r="H4" s="35" t="e">
        <f>_xlfn.XLOOKUP(Outcome[[#This Row],[Ref ID]],#REF!,#REF!, "-")</f>
        <v>#REF!</v>
      </c>
      <c r="I4" s="59" t="s">
        <v>966</v>
      </c>
      <c r="J4" s="59" t="s">
        <v>905</v>
      </c>
      <c r="K4" s="59" t="s">
        <v>895</v>
      </c>
      <c r="L4" s="59" t="s">
        <v>918</v>
      </c>
      <c r="O4" s="34" t="s">
        <v>967</v>
      </c>
      <c r="Q4" s="34" t="s">
        <v>352</v>
      </c>
      <c r="R4" s="34">
        <f>63+61</f>
        <v>124</v>
      </c>
      <c r="S4" s="34">
        <f>53+10+29</f>
        <v>92</v>
      </c>
      <c r="T4" s="34">
        <f>9+10+11+1</f>
        <v>31</v>
      </c>
      <c r="U4" s="34" t="s">
        <v>968</v>
      </c>
      <c r="V4" s="34" t="s">
        <v>352</v>
      </c>
      <c r="W4" s="34" t="s">
        <v>969</v>
      </c>
      <c r="X4" s="34" t="s">
        <v>1000</v>
      </c>
      <c r="Y4" s="34">
        <f xml:space="preserve"> 46+8+23</f>
        <v>77</v>
      </c>
      <c r="Z4" s="34">
        <v>9</v>
      </c>
      <c r="AA4" s="34" t="s">
        <v>972</v>
      </c>
      <c r="AB4" s="34" t="s">
        <v>378</v>
      </c>
      <c r="AC4" s="34" t="s">
        <v>973</v>
      </c>
      <c r="AD4" s="34" t="s">
        <v>382</v>
      </c>
      <c r="AE4" s="34">
        <v>1</v>
      </c>
      <c r="AF4" s="34">
        <v>0</v>
      </c>
      <c r="AG4" s="34">
        <v>1</v>
      </c>
      <c r="AH4" s="34">
        <v>0</v>
      </c>
      <c r="AI4" s="34" t="s">
        <v>970</v>
      </c>
      <c r="AJ4" s="34" t="s">
        <v>791</v>
      </c>
      <c r="AK4" s="34" t="s">
        <v>971</v>
      </c>
      <c r="AL4" s="34" t="s">
        <v>974</v>
      </c>
    </row>
    <row r="5" spans="2:39" ht="68" hidden="1" x14ac:dyDescent="0.2">
      <c r="B5" s="35" t="s">
        <v>41</v>
      </c>
      <c r="C5" s="35">
        <v>1</v>
      </c>
      <c r="D5" s="59" t="s">
        <v>961</v>
      </c>
      <c r="I5" s="59" t="s">
        <v>897</v>
      </c>
      <c r="J5" s="59" t="s">
        <v>918</v>
      </c>
      <c r="K5" s="59" t="s">
        <v>1095</v>
      </c>
      <c r="L5" s="59" t="s">
        <v>925</v>
      </c>
      <c r="O5" s="34" t="s">
        <v>1022</v>
      </c>
      <c r="P5" s="34" t="s">
        <v>791</v>
      </c>
      <c r="Q5" s="34" t="s">
        <v>791</v>
      </c>
      <c r="R5" s="34"/>
      <c r="U5" s="34"/>
      <c r="V5" s="34"/>
      <c r="W5" s="34"/>
      <c r="X5" s="34"/>
      <c r="Y5" s="34"/>
      <c r="Z5" s="34"/>
      <c r="AA5" s="34"/>
      <c r="AB5" s="34" t="s">
        <v>378</v>
      </c>
      <c r="AC5" s="34">
        <v>1</v>
      </c>
      <c r="AD5" s="34"/>
      <c r="AE5" s="34">
        <v>0</v>
      </c>
      <c r="AF5" s="34"/>
      <c r="AG5" s="34"/>
      <c r="AH5" s="34"/>
      <c r="AI5" s="34"/>
      <c r="AJ5" s="34"/>
      <c r="AK5" s="34" t="s">
        <v>791</v>
      </c>
      <c r="AL5" s="34" t="s">
        <v>1096</v>
      </c>
    </row>
    <row r="6" spans="2:39" ht="153" hidden="1" x14ac:dyDescent="0.2">
      <c r="B6" s="35" t="s">
        <v>91</v>
      </c>
      <c r="C6" s="35">
        <v>2</v>
      </c>
      <c r="D6" s="59" t="s">
        <v>961</v>
      </c>
      <c r="E6" s="35">
        <v>15228258</v>
      </c>
      <c r="F6" s="34" t="e">
        <f>_xlfn.XLOOKUP(Outcome[[#This Row],[Ref ID]],#REF!,#REF!, "-")</f>
        <v>#REF!</v>
      </c>
      <c r="G6" s="35" t="e">
        <f>_xlfn.XLOOKUP(Outcome[[#This Row],[Ref ID]],#REF!,#REF!, "-")</f>
        <v>#REF!</v>
      </c>
      <c r="H6" s="35" t="e">
        <f>_xlfn.XLOOKUP(Outcome[[#This Row],[Ref ID]],#REF!,#REF!, "-")</f>
        <v>#REF!</v>
      </c>
      <c r="I6" s="59" t="s">
        <v>899</v>
      </c>
      <c r="J6" s="59" t="s">
        <v>909</v>
      </c>
      <c r="K6" s="59" t="s">
        <v>897</v>
      </c>
      <c r="L6" s="59" t="s">
        <v>926</v>
      </c>
      <c r="M6" s="59" t="s">
        <v>898</v>
      </c>
      <c r="N6" s="59" t="s">
        <v>908</v>
      </c>
      <c r="O6" s="34" t="s">
        <v>802</v>
      </c>
      <c r="P6" s="34" t="s">
        <v>933</v>
      </c>
      <c r="Q6" s="34" t="s">
        <v>382</v>
      </c>
      <c r="R6" s="34">
        <v>120</v>
      </c>
      <c r="S6" s="34">
        <v>104</v>
      </c>
      <c r="T6" s="34">
        <f>Outcome[[#This Row],[Number of enrolled patients]]-Outcome[[#This Row],[Number of patients achieving initial cure ]]</f>
        <v>16</v>
      </c>
      <c r="U6" s="34" t="s">
        <v>958</v>
      </c>
      <c r="V6" s="34" t="s">
        <v>352</v>
      </c>
      <c r="W6" s="34" t="s">
        <v>810</v>
      </c>
      <c r="X6" s="34"/>
      <c r="Y6" s="34">
        <v>99</v>
      </c>
      <c r="Z6" s="34">
        <f>Outcome[[#This Row],[Number of patients achieving initial cure ]]-Outcome[[#This Row],[Number of patients achieving definitive cure (i.e. of those achieving initial cure, also known as definitive cure)]]</f>
        <v>5</v>
      </c>
      <c r="AA6" s="34" t="s">
        <v>951</v>
      </c>
      <c r="AB6" s="34" t="s">
        <v>378</v>
      </c>
      <c r="AC6" s="34">
        <v>1</v>
      </c>
      <c r="AD6" s="34" t="s">
        <v>352</v>
      </c>
      <c r="AE6" s="34">
        <v>4</v>
      </c>
      <c r="AF6" s="34">
        <v>4</v>
      </c>
      <c r="AG6" s="34">
        <v>0</v>
      </c>
      <c r="AH6" s="34">
        <v>0</v>
      </c>
      <c r="AI6" s="34" t="s">
        <v>809</v>
      </c>
      <c r="AJ6" s="34" t="s">
        <v>791</v>
      </c>
      <c r="AK6" s="34" t="s">
        <v>812</v>
      </c>
      <c r="AL6" s="34" t="s">
        <v>811</v>
      </c>
    </row>
    <row r="7" spans="2:39" ht="136" hidden="1" x14ac:dyDescent="0.2">
      <c r="B7" s="35" t="s">
        <v>100</v>
      </c>
      <c r="C7" s="35">
        <v>3</v>
      </c>
      <c r="D7" s="59" t="s">
        <v>961</v>
      </c>
      <c r="E7" s="35">
        <v>18781879</v>
      </c>
      <c r="F7" s="34" t="e">
        <f>_xlfn.XLOOKUP(Outcome[[#This Row],[Ref ID]],#REF!,#REF!, "-")</f>
        <v>#REF!</v>
      </c>
      <c r="G7" s="35" t="e">
        <f>_xlfn.XLOOKUP(Outcome[[#This Row],[Ref ID]],#REF!,#REF!, "-")</f>
        <v>#REF!</v>
      </c>
      <c r="H7" s="35" t="e">
        <f>_xlfn.XLOOKUP(Outcome[[#This Row],[Ref ID]],#REF!,#REF!, "-")</f>
        <v>#REF!</v>
      </c>
      <c r="I7" s="59" t="s">
        <v>897</v>
      </c>
      <c r="J7" s="59" t="s">
        <v>907</v>
      </c>
      <c r="M7" s="59" t="s">
        <v>913</v>
      </c>
      <c r="N7" s="59" t="s">
        <v>911</v>
      </c>
      <c r="O7" s="34" t="s">
        <v>456</v>
      </c>
      <c r="P7" s="34" t="s">
        <v>933</v>
      </c>
      <c r="Q7" s="34" t="s">
        <v>352</v>
      </c>
      <c r="R7" s="34">
        <v>226</v>
      </c>
      <c r="S7" s="34">
        <v>226</v>
      </c>
      <c r="T7" s="34">
        <f>Outcome[[#This Row],[Number of enrolled patients]]-Outcome[[#This Row],[Number of patients achieving initial cure ]]</f>
        <v>0</v>
      </c>
      <c r="U7" s="34" t="s">
        <v>599</v>
      </c>
      <c r="V7" s="34" t="s">
        <v>352</v>
      </c>
      <c r="W7" s="34" t="s">
        <v>762</v>
      </c>
      <c r="X7" s="34"/>
      <c r="Y7" s="34">
        <f>225-9</f>
        <v>216</v>
      </c>
      <c r="Z7" s="34">
        <f>Outcome[[#This Row],[Number of patients achieving initial cure ]]-Outcome[[#This Row],[Number of patients achieving definitive cure (i.e. of those achieving initial cure, also known as definitive cure)]]</f>
        <v>10</v>
      </c>
      <c r="AA7" s="34" t="s">
        <v>945</v>
      </c>
      <c r="AB7" s="34" t="s">
        <v>378</v>
      </c>
      <c r="AC7" s="34">
        <v>9</v>
      </c>
      <c r="AD7" s="34" t="s">
        <v>352</v>
      </c>
      <c r="AE7" s="34">
        <v>1</v>
      </c>
      <c r="AF7" s="34">
        <v>0</v>
      </c>
      <c r="AG7" s="34">
        <v>1</v>
      </c>
      <c r="AH7" s="34">
        <v>0</v>
      </c>
      <c r="AI7" s="34" t="s">
        <v>764</v>
      </c>
      <c r="AJ7" s="34" t="s">
        <v>456</v>
      </c>
      <c r="AK7" s="34" t="s">
        <v>754</v>
      </c>
      <c r="AL7" s="34" t="s">
        <v>765</v>
      </c>
      <c r="AM7" s="34"/>
    </row>
    <row r="8" spans="2:39" ht="68" hidden="1" x14ac:dyDescent="0.2">
      <c r="B8" s="35" t="s">
        <v>112</v>
      </c>
      <c r="C8" s="35">
        <v>4</v>
      </c>
      <c r="D8" s="59" t="s">
        <v>961</v>
      </c>
      <c r="E8" s="35">
        <v>19663597</v>
      </c>
      <c r="F8" s="34" t="e">
        <f>_xlfn.XLOOKUP(Outcome[[#This Row],[Ref ID]],#REF!,#REF!, "-")</f>
        <v>#REF!</v>
      </c>
      <c r="G8" s="35" t="e">
        <f>_xlfn.XLOOKUP(Outcome[[#This Row],[Ref ID]],#REF!,#REF!, "-")</f>
        <v>#REF!</v>
      </c>
      <c r="H8" s="35" t="e">
        <f>_xlfn.XLOOKUP(Outcome[[#This Row],[Ref ID]],#REF!,#REF!, "-")</f>
        <v>#REF!</v>
      </c>
      <c r="P8" s="34" t="s">
        <v>933</v>
      </c>
      <c r="Q8" s="34" t="s">
        <v>352</v>
      </c>
      <c r="R8" s="34">
        <v>329</v>
      </c>
      <c r="S8" s="34">
        <f>198+108</f>
        <v>306</v>
      </c>
      <c r="T8" s="34">
        <f>Outcome[[#This Row],[Number of enrolled patients]]-Outcome[[#This Row],[Number of patients achieving initial cure ]]</f>
        <v>23</v>
      </c>
      <c r="U8" s="34" t="s">
        <v>737</v>
      </c>
      <c r="V8" s="34" t="s">
        <v>352</v>
      </c>
      <c r="W8" s="34" t="s">
        <v>738</v>
      </c>
      <c r="X8" s="34"/>
      <c r="Y8" s="34">
        <v>280</v>
      </c>
      <c r="Z8" s="34">
        <f>Outcome[[#This Row],[Number of patients achieving initial cure ]]-Outcome[[#This Row],[Number of patients achieving definitive cure (i.e. of those achieving initial cure, also known as definitive cure)]]</f>
        <v>26</v>
      </c>
      <c r="AA8" s="34" t="s">
        <v>940</v>
      </c>
      <c r="AB8" s="34" t="s">
        <v>378</v>
      </c>
      <c r="AC8" s="34">
        <v>26</v>
      </c>
      <c r="AD8" s="34" t="s">
        <v>352</v>
      </c>
      <c r="AE8" s="34">
        <v>0</v>
      </c>
      <c r="AF8" s="34">
        <v>0</v>
      </c>
      <c r="AG8" s="34">
        <v>0</v>
      </c>
      <c r="AH8" s="34">
        <v>0</v>
      </c>
      <c r="AI8" s="34" t="s">
        <v>718</v>
      </c>
      <c r="AJ8" s="34" t="s">
        <v>599</v>
      </c>
      <c r="AK8" s="34" t="s">
        <v>739</v>
      </c>
      <c r="AL8" s="34" t="s">
        <v>740</v>
      </c>
      <c r="AM8" s="34"/>
    </row>
    <row r="9" spans="2:39" ht="221" hidden="1" x14ac:dyDescent="0.2">
      <c r="B9" s="35" t="s">
        <v>126</v>
      </c>
      <c r="C9" s="35">
        <v>6</v>
      </c>
      <c r="D9" s="59" t="s">
        <v>961</v>
      </c>
      <c r="E9" s="35">
        <v>18186975</v>
      </c>
      <c r="F9" s="34" t="e">
        <f>_xlfn.XLOOKUP(Outcome[[#This Row],[Ref ID]],#REF!,#REF!, "-")</f>
        <v>#REF!</v>
      </c>
      <c r="G9" s="35" t="e">
        <f>_xlfn.XLOOKUP(Outcome[[#This Row],[Ref ID]],#REF!,#REF!, "-")</f>
        <v>#REF!</v>
      </c>
      <c r="H9" s="35" t="e">
        <f>_xlfn.XLOOKUP(Outcome[[#This Row],[Ref ID]],#REF!,#REF!, "-")</f>
        <v>#REF!</v>
      </c>
      <c r="I9" s="59" t="s">
        <v>901</v>
      </c>
      <c r="J9" s="59" t="s">
        <v>906</v>
      </c>
      <c r="M9" s="59" t="s">
        <v>898</v>
      </c>
      <c r="N9" s="59" t="s">
        <v>915</v>
      </c>
      <c r="O9" s="34" t="s">
        <v>879</v>
      </c>
      <c r="P9" s="34" t="s">
        <v>933</v>
      </c>
      <c r="Q9" s="34" t="s">
        <v>382</v>
      </c>
      <c r="R9" s="34">
        <v>5</v>
      </c>
      <c r="S9" s="34">
        <v>1</v>
      </c>
      <c r="T9" s="34">
        <v>4</v>
      </c>
      <c r="U9" s="34" t="s">
        <v>955</v>
      </c>
      <c r="V9" s="34" t="s">
        <v>352</v>
      </c>
      <c r="W9" s="34" t="s">
        <v>885</v>
      </c>
      <c r="X9" s="34"/>
      <c r="Y9" s="34">
        <v>1</v>
      </c>
      <c r="Z9" s="34">
        <v>0</v>
      </c>
      <c r="AA9" s="34"/>
      <c r="AB9" s="34" t="s">
        <v>378</v>
      </c>
      <c r="AC9" s="34">
        <v>0</v>
      </c>
      <c r="AD9" s="34" t="s">
        <v>352</v>
      </c>
      <c r="AE9" s="34">
        <v>0</v>
      </c>
      <c r="AF9" s="34">
        <v>0</v>
      </c>
      <c r="AG9" s="34">
        <v>0</v>
      </c>
      <c r="AH9" s="34">
        <v>0</v>
      </c>
      <c r="AI9" s="34">
        <v>0</v>
      </c>
      <c r="AJ9" s="34" t="s">
        <v>791</v>
      </c>
      <c r="AM9" s="34"/>
    </row>
    <row r="10" spans="2:39" ht="153" hidden="1" x14ac:dyDescent="0.2">
      <c r="B10" s="35" t="s">
        <v>133</v>
      </c>
      <c r="D10" s="59" t="s">
        <v>962</v>
      </c>
      <c r="E10" s="35">
        <v>21049063</v>
      </c>
      <c r="F10" s="34" t="e">
        <f>_xlfn.XLOOKUP(Outcome[[#This Row],[Ref ID]],#REF!,#REF!, "-")</f>
        <v>#REF!</v>
      </c>
      <c r="G10" s="35" t="e">
        <f>_xlfn.XLOOKUP(Outcome[[#This Row],[Ref ID]],#REF!,#REF!, "-")</f>
        <v>#REF!</v>
      </c>
      <c r="H10" s="35" t="e">
        <f>_xlfn.XLOOKUP(Outcome[[#This Row],[Ref ID]],#REF!,#REF!, "-")</f>
        <v>#REF!</v>
      </c>
      <c r="I10" s="59" t="s">
        <v>900</v>
      </c>
      <c r="J10" s="59" t="s">
        <v>915</v>
      </c>
      <c r="K10" s="59" t="s">
        <v>456</v>
      </c>
      <c r="L10" s="59" t="s">
        <v>456</v>
      </c>
      <c r="M10" s="59" t="s">
        <v>900</v>
      </c>
      <c r="N10" s="59" t="s">
        <v>907</v>
      </c>
      <c r="O10" s="34" t="s">
        <v>979</v>
      </c>
      <c r="P10" s="34" t="s">
        <v>933</v>
      </c>
      <c r="Q10" s="34" t="s">
        <v>352</v>
      </c>
      <c r="R10" s="34">
        <v>42</v>
      </c>
      <c r="S10" s="34">
        <v>37</v>
      </c>
      <c r="T10" s="34">
        <f>42-37</f>
        <v>5</v>
      </c>
      <c r="U10" s="34" t="s">
        <v>981</v>
      </c>
      <c r="V10" s="34" t="s">
        <v>352</v>
      </c>
      <c r="W10" s="34" t="s">
        <v>980</v>
      </c>
      <c r="X10" s="34" t="s">
        <v>1001</v>
      </c>
      <c r="Y10" s="34">
        <f>16+17</f>
        <v>33</v>
      </c>
      <c r="Z10" s="34">
        <v>1</v>
      </c>
      <c r="AA10" s="34" t="s">
        <v>982</v>
      </c>
      <c r="AB10" s="34" t="s">
        <v>378</v>
      </c>
      <c r="AC10" s="34">
        <v>5</v>
      </c>
      <c r="AD10" s="34" t="s">
        <v>352</v>
      </c>
      <c r="AE10" s="34">
        <v>0</v>
      </c>
      <c r="AF10" s="34">
        <v>0</v>
      </c>
      <c r="AG10" s="34">
        <v>0</v>
      </c>
      <c r="AH10" s="34">
        <v>0</v>
      </c>
      <c r="AI10" s="34">
        <v>0</v>
      </c>
      <c r="AJ10" s="34" t="s">
        <v>791</v>
      </c>
      <c r="AK10" s="34" t="s">
        <v>983</v>
      </c>
      <c r="AL10" s="34" t="s">
        <v>984</v>
      </c>
    </row>
    <row r="11" spans="2:39" ht="85" hidden="1" x14ac:dyDescent="0.2">
      <c r="B11" s="35" t="s">
        <v>142</v>
      </c>
      <c r="C11" s="35">
        <v>7</v>
      </c>
      <c r="D11" s="59" t="s">
        <v>961</v>
      </c>
      <c r="E11" s="35">
        <v>19726065</v>
      </c>
      <c r="F11" s="34" t="e">
        <f>_xlfn.XLOOKUP(Outcome[[#This Row],[Ref ID]],#REF!,#REF!, "-")</f>
        <v>#REF!</v>
      </c>
      <c r="G11" s="35" t="e">
        <f>_xlfn.XLOOKUP(Outcome[[#This Row],[Ref ID]],#REF!,#REF!, "-")</f>
        <v>#REF!</v>
      </c>
      <c r="H11" s="35" t="e">
        <f>_xlfn.XLOOKUP(Outcome[[#This Row],[Ref ID]],#REF!,#REF!, "-")</f>
        <v>#REF!</v>
      </c>
      <c r="I11" s="59" t="s">
        <v>898</v>
      </c>
      <c r="J11" s="59" t="s">
        <v>908</v>
      </c>
      <c r="M11" s="59" t="s">
        <v>895</v>
      </c>
      <c r="N11" s="59" t="s">
        <v>906</v>
      </c>
      <c r="O11" s="34" t="s">
        <v>822</v>
      </c>
      <c r="P11" s="34" t="s">
        <v>938</v>
      </c>
      <c r="Q11" s="34" t="s">
        <v>352</v>
      </c>
      <c r="R11" s="34">
        <v>198</v>
      </c>
      <c r="S11" s="34">
        <f>181-14</f>
        <v>167</v>
      </c>
      <c r="T11" s="34">
        <f>Outcome[[#This Row],[Number of enrolled patients]]-Outcome[[#This Row],[Number of patients achieving initial cure ]]</f>
        <v>31</v>
      </c>
      <c r="U11" s="34" t="s">
        <v>946</v>
      </c>
      <c r="V11" s="34" t="s">
        <v>352</v>
      </c>
      <c r="W11" s="34" t="s">
        <v>773</v>
      </c>
      <c r="X11" s="34"/>
      <c r="Y11" s="34">
        <v>154</v>
      </c>
      <c r="Z11" s="34">
        <f>Outcome[[#This Row],[Number of patients achieving initial cure ]]-Outcome[[#This Row],[Number of patients achieving definitive cure (i.e. of those achieving initial cure, also known as definitive cure)]]</f>
        <v>13</v>
      </c>
      <c r="AA11" s="34" t="s">
        <v>947</v>
      </c>
      <c r="AB11" s="34" t="s">
        <v>378</v>
      </c>
      <c r="AC11" s="34">
        <v>1</v>
      </c>
      <c r="AD11" s="34" t="s">
        <v>382</v>
      </c>
      <c r="AE11" s="34">
        <v>5</v>
      </c>
      <c r="AF11" s="34">
        <v>5</v>
      </c>
      <c r="AG11" s="34">
        <v>0</v>
      </c>
      <c r="AH11" s="34">
        <v>0</v>
      </c>
      <c r="AI11" s="34" t="s">
        <v>780</v>
      </c>
      <c r="AJ11" s="34"/>
      <c r="AL11" s="34" t="s">
        <v>890</v>
      </c>
    </row>
    <row r="12" spans="2:39" ht="119" hidden="1" x14ac:dyDescent="0.2">
      <c r="B12" s="35" t="s">
        <v>159</v>
      </c>
      <c r="D12" s="59" t="s">
        <v>962</v>
      </c>
      <c r="E12" s="35">
        <v>21049059</v>
      </c>
      <c r="F12" s="34" t="e">
        <f>_xlfn.XLOOKUP(Outcome[[#This Row],[Ref ID]],#REF!,#REF!, "-")</f>
        <v>#REF!</v>
      </c>
      <c r="G12" s="35" t="e">
        <f>_xlfn.XLOOKUP(Outcome[[#This Row],[Ref ID]],#REF!,#REF!, "-")</f>
        <v>#REF!</v>
      </c>
      <c r="H12" s="35" t="e">
        <f>_xlfn.XLOOKUP(Outcome[[#This Row],[Ref ID]],#REF!,#REF!, "-")</f>
        <v>#REF!</v>
      </c>
      <c r="I12" s="59" t="s">
        <v>914</v>
      </c>
      <c r="J12" s="59" t="s">
        <v>917</v>
      </c>
      <c r="K12" s="59" t="s">
        <v>456</v>
      </c>
      <c r="L12" s="59" t="s">
        <v>456</v>
      </c>
      <c r="M12" s="59" t="s">
        <v>894</v>
      </c>
      <c r="N12" s="59" t="s">
        <v>904</v>
      </c>
      <c r="O12" s="34" t="s">
        <v>988</v>
      </c>
      <c r="Q12" s="34" t="s">
        <v>352</v>
      </c>
      <c r="R12" s="34" t="s">
        <v>992</v>
      </c>
      <c r="S12" s="34" t="s">
        <v>993</v>
      </c>
      <c r="T12" s="34">
        <v>55</v>
      </c>
      <c r="U12" s="34" t="s">
        <v>991</v>
      </c>
      <c r="V12" s="34" t="s">
        <v>352</v>
      </c>
      <c r="W12" s="34" t="s">
        <v>994</v>
      </c>
      <c r="X12" s="34" t="s">
        <v>1003</v>
      </c>
      <c r="Y12" s="34" t="s">
        <v>995</v>
      </c>
      <c r="Z12" s="34" t="s">
        <v>935</v>
      </c>
      <c r="AA12" s="34" t="s">
        <v>990</v>
      </c>
      <c r="AB12" s="34" t="s">
        <v>996</v>
      </c>
      <c r="AC12" s="34" t="s">
        <v>935</v>
      </c>
      <c r="AD12" s="34" t="s">
        <v>382</v>
      </c>
      <c r="AE12" s="34" t="s">
        <v>998</v>
      </c>
      <c r="AF12" s="34">
        <v>1</v>
      </c>
      <c r="AG12" s="34">
        <v>3</v>
      </c>
      <c r="AH12" s="34">
        <v>0</v>
      </c>
      <c r="AI12" s="34" t="s">
        <v>997</v>
      </c>
      <c r="AJ12" s="34" t="s">
        <v>791</v>
      </c>
      <c r="AL12" s="34" t="s">
        <v>989</v>
      </c>
    </row>
    <row r="13" spans="2:39" ht="221" hidden="1" x14ac:dyDescent="0.2">
      <c r="B13" s="35" t="s">
        <v>165</v>
      </c>
      <c r="C13" s="35">
        <v>8</v>
      </c>
      <c r="D13" s="59" t="s">
        <v>961</v>
      </c>
      <c r="E13" s="35">
        <v>25233346</v>
      </c>
      <c r="F13" s="34" t="e">
        <f>_xlfn.XLOOKUP(Outcome[[#This Row],[Ref ID]],#REF!,#REF!, "-")</f>
        <v>#REF!</v>
      </c>
      <c r="G13" s="35" t="e">
        <f>_xlfn.XLOOKUP(Outcome[[#This Row],[Ref ID]],#REF!,#REF!, "-")</f>
        <v>#REF!</v>
      </c>
      <c r="H13" s="35" t="e">
        <f>_xlfn.XLOOKUP(Outcome[[#This Row],[Ref ID]],#REF!,#REF!, "-")</f>
        <v>#REF!</v>
      </c>
      <c r="I13" s="59" t="s">
        <v>897</v>
      </c>
      <c r="J13" s="59" t="s">
        <v>905</v>
      </c>
      <c r="K13" s="59" t="s">
        <v>898</v>
      </c>
      <c r="L13" s="59" t="s">
        <v>925</v>
      </c>
      <c r="O13" s="34" t="s">
        <v>783</v>
      </c>
      <c r="P13" s="34" t="s">
        <v>938</v>
      </c>
      <c r="Q13" s="34" t="s">
        <v>352</v>
      </c>
      <c r="R13" s="34">
        <f>376+124</f>
        <v>500</v>
      </c>
      <c r="S13" s="34">
        <f>354+122</f>
        <v>476</v>
      </c>
      <c r="T13" s="34">
        <f>Outcome[[#This Row],[Number of enrolled patients]]-Outcome[[#This Row],[Number of patients achieving initial cure ]]</f>
        <v>24</v>
      </c>
      <c r="U13" s="34" t="s">
        <v>957</v>
      </c>
      <c r="V13" s="34" t="s">
        <v>382</v>
      </c>
      <c r="W13" s="34" t="s">
        <v>948</v>
      </c>
      <c r="X13" s="34"/>
      <c r="Y13" s="34">
        <f>317+120</f>
        <v>437</v>
      </c>
      <c r="Z13" s="34">
        <f>Outcome[[#This Row],[Number of patients achieving initial cure ]]-Outcome[[#This Row],[Number of patients achieving definitive cure (i.e. of those achieving initial cure, also known as definitive cure)]]</f>
        <v>39</v>
      </c>
      <c r="AA13" s="34" t="s">
        <v>949</v>
      </c>
      <c r="AB13" s="34" t="s">
        <v>377</v>
      </c>
      <c r="AC13" s="34">
        <v>39</v>
      </c>
      <c r="AD13" s="34" t="s">
        <v>382</v>
      </c>
      <c r="AE13" s="34">
        <v>2</v>
      </c>
      <c r="AF13" s="34">
        <v>1</v>
      </c>
      <c r="AG13" s="34">
        <v>1</v>
      </c>
      <c r="AH13" s="34">
        <v>0</v>
      </c>
      <c r="AI13" s="34" t="s">
        <v>790</v>
      </c>
      <c r="AJ13" s="34" t="s">
        <v>791</v>
      </c>
      <c r="AK13" s="34" t="s">
        <v>792</v>
      </c>
      <c r="AL13" s="34" t="s">
        <v>1275</v>
      </c>
    </row>
    <row r="14" spans="2:39" ht="153" hidden="1" x14ac:dyDescent="0.2">
      <c r="B14" s="35" t="s">
        <v>169</v>
      </c>
      <c r="C14" s="35">
        <v>9</v>
      </c>
      <c r="D14" s="59" t="s">
        <v>961</v>
      </c>
      <c r="E14" s="35">
        <v>17624846</v>
      </c>
      <c r="F14" s="34" t="e">
        <f>_xlfn.XLOOKUP(Outcome[[#This Row],[Ref ID]],#REF!,#REF!, "-")</f>
        <v>#REF!</v>
      </c>
      <c r="G14" s="35" t="e">
        <f>_xlfn.XLOOKUP(Outcome[[#This Row],[Ref ID]],#REF!,#REF!, "-")</f>
        <v>#REF!</v>
      </c>
      <c r="H14" s="35" t="e">
        <f>_xlfn.XLOOKUP(Outcome[[#This Row],[Ref ID]],#REF!,#REF!, "-")</f>
        <v>#REF!</v>
      </c>
      <c r="P14" s="34" t="s">
        <v>939</v>
      </c>
      <c r="Q14" s="34" t="s">
        <v>352</v>
      </c>
      <c r="R14" s="34">
        <v>1135</v>
      </c>
      <c r="S14" s="34">
        <v>1055</v>
      </c>
      <c r="T14" s="34">
        <f>Outcome[[#This Row],[Number of enrolled patients]]-Outcome[[#This Row],[Number of patients achieving initial cure ]]</f>
        <v>80</v>
      </c>
      <c r="U14" s="34" t="s">
        <v>936</v>
      </c>
      <c r="V14" s="34" t="s">
        <v>352</v>
      </c>
      <c r="W14" s="34"/>
      <c r="X14" s="34"/>
      <c r="Y14" s="34">
        <v>927</v>
      </c>
      <c r="Z14" s="34">
        <f>Outcome[[#This Row],[Number of patients achieving initial cure ]]-Outcome[[#This Row],[Number of patients achieving definitive cure (i.e. of those achieving initial cure, also known as definitive cure)]]</f>
        <v>128</v>
      </c>
      <c r="AA14" s="34" t="s">
        <v>937</v>
      </c>
      <c r="AB14" s="34" t="s">
        <v>378</v>
      </c>
      <c r="AC14" s="34">
        <v>44</v>
      </c>
      <c r="AD14" s="34" t="s">
        <v>352</v>
      </c>
      <c r="AE14" s="34">
        <v>3</v>
      </c>
      <c r="AF14" s="34">
        <v>3</v>
      </c>
      <c r="AG14" s="34">
        <v>0</v>
      </c>
      <c r="AH14" s="34">
        <v>0</v>
      </c>
      <c r="AI14" s="34" t="s">
        <v>730</v>
      </c>
      <c r="AJ14" s="34" t="s">
        <v>456</v>
      </c>
      <c r="AL14" s="34" t="s">
        <v>729</v>
      </c>
    </row>
    <row r="15" spans="2:39" ht="136" hidden="1" x14ac:dyDescent="0.2">
      <c r="B15" s="35" t="s">
        <v>177</v>
      </c>
      <c r="D15" s="59" t="s">
        <v>962</v>
      </c>
      <c r="E15" s="35">
        <v>16804852</v>
      </c>
      <c r="F15" s="34" t="e">
        <f>_xlfn.XLOOKUP(Outcome[[#This Row],[Ref ID]],#REF!,#REF!, "-")</f>
        <v>#REF!</v>
      </c>
      <c r="G15" s="35" t="e">
        <f>_xlfn.XLOOKUP(Outcome[[#This Row],[Ref ID]],#REF!,#REF!, "-")</f>
        <v>#REF!</v>
      </c>
      <c r="H15" s="35" t="e">
        <f>_xlfn.XLOOKUP(Outcome[[#This Row],[Ref ID]],#REF!,#REF!, "-")</f>
        <v>#REF!</v>
      </c>
      <c r="I15" s="59" t="s">
        <v>914</v>
      </c>
      <c r="J15" s="59" t="s">
        <v>906</v>
      </c>
      <c r="K15" s="59" t="s">
        <v>1021</v>
      </c>
      <c r="L15" s="59" t="s">
        <v>917</v>
      </c>
      <c r="M15" s="59" t="s">
        <v>456</v>
      </c>
      <c r="N15" s="59" t="s">
        <v>456</v>
      </c>
      <c r="O15" s="34" t="s">
        <v>1022</v>
      </c>
      <c r="P15" s="34" t="s">
        <v>1023</v>
      </c>
      <c r="Q15" s="34" t="s">
        <v>352</v>
      </c>
      <c r="R15" s="34">
        <v>580</v>
      </c>
      <c r="S15" s="34">
        <v>510</v>
      </c>
      <c r="T15" s="34">
        <f>Outcome[[#This Row],[Number of enrolled patients]]-Outcome[[#This Row],[Number of patients achieving initial cure ]]</f>
        <v>70</v>
      </c>
      <c r="U15" s="34" t="s">
        <v>1024</v>
      </c>
      <c r="V15" s="34" t="s">
        <v>352</v>
      </c>
      <c r="W15" s="34" t="s">
        <v>456</v>
      </c>
      <c r="X15" s="34" t="s">
        <v>1025</v>
      </c>
      <c r="Y15" s="34">
        <f>174+189</f>
        <v>363</v>
      </c>
      <c r="Z15" s="34">
        <f>60+53</f>
        <v>113</v>
      </c>
      <c r="AA15" s="34" t="s">
        <v>1026</v>
      </c>
      <c r="AB15" s="34" t="s">
        <v>1027</v>
      </c>
      <c r="AC15" s="34">
        <v>37</v>
      </c>
      <c r="AD15" s="34" t="s">
        <v>352</v>
      </c>
      <c r="AE15" s="34">
        <v>57</v>
      </c>
      <c r="AF15" s="34">
        <v>34</v>
      </c>
      <c r="AG15" s="34">
        <f>Outcome[[#This Row],[Deaths - overall how many deaths occurred]]-34</f>
        <v>23</v>
      </c>
      <c r="AH15" s="34">
        <v>0</v>
      </c>
      <c r="AI15" s="34" t="s">
        <v>456</v>
      </c>
      <c r="AJ15" s="34" t="s">
        <v>791</v>
      </c>
      <c r="AK15" s="34" t="s">
        <v>1028</v>
      </c>
      <c r="AL15" s="34" t="s">
        <v>1029</v>
      </c>
    </row>
    <row r="16" spans="2:39" ht="85" hidden="1" x14ac:dyDescent="0.2">
      <c r="B16" s="35" t="s">
        <v>186</v>
      </c>
      <c r="C16" s="35">
        <v>10</v>
      </c>
      <c r="D16" s="59" t="s">
        <v>961</v>
      </c>
      <c r="E16" s="35">
        <v>20147716</v>
      </c>
      <c r="F16" s="34" t="e">
        <f>_xlfn.XLOOKUP(Outcome[[#This Row],[Ref ID]],#REF!,#REF!, "-")</f>
        <v>#REF!</v>
      </c>
      <c r="G16" s="35" t="e">
        <f>_xlfn.XLOOKUP(Outcome[[#This Row],[Ref ID]],#REF!,#REF!, "-")</f>
        <v>#REF!</v>
      </c>
      <c r="H16" s="35" t="e">
        <f>_xlfn.XLOOKUP(Outcome[[#This Row],[Ref ID]],#REF!,#REF!, "-")</f>
        <v>#REF!</v>
      </c>
      <c r="I16" s="59" t="s">
        <v>896</v>
      </c>
      <c r="J16" s="59" t="s">
        <v>904</v>
      </c>
      <c r="K16" s="59" t="s">
        <v>913</v>
      </c>
      <c r="L16" s="59" t="s">
        <v>905</v>
      </c>
      <c r="O16" s="34" t="s">
        <v>710</v>
      </c>
      <c r="P16" s="34" t="s">
        <v>933</v>
      </c>
      <c r="Q16" s="34" t="s">
        <v>352</v>
      </c>
      <c r="R16" s="34">
        <v>412</v>
      </c>
      <c r="S16" s="34">
        <v>410</v>
      </c>
      <c r="T16" s="34">
        <f>Outcome[[#This Row],[Number of enrolled patients]]-Outcome[[#This Row],[Number of patients achieving initial cure ]]</f>
        <v>2</v>
      </c>
      <c r="U16" s="34" t="s">
        <v>717</v>
      </c>
      <c r="V16" s="34" t="s">
        <v>352</v>
      </c>
      <c r="W16" s="34"/>
      <c r="X16" s="34"/>
      <c r="Y16" s="34">
        <f>104+291</f>
        <v>395</v>
      </c>
      <c r="Z16" s="34">
        <f>Outcome[[#This Row],[Number of patients achieving initial cure ]]-Outcome[[#This Row],[Number of patients achieving definitive cure (i.e. of those achieving initial cure, also known as definitive cure)]]</f>
        <v>15</v>
      </c>
      <c r="AA16" s="34" t="s">
        <v>719</v>
      </c>
      <c r="AB16" s="34" t="s">
        <v>378</v>
      </c>
      <c r="AC16" s="34">
        <v>15</v>
      </c>
      <c r="AD16" s="34" t="s">
        <v>352</v>
      </c>
      <c r="AE16" s="34">
        <v>0</v>
      </c>
      <c r="AF16" s="34">
        <v>0</v>
      </c>
      <c r="AG16" s="34">
        <v>0</v>
      </c>
      <c r="AH16" s="34">
        <v>0</v>
      </c>
      <c r="AI16" s="34" t="s">
        <v>718</v>
      </c>
      <c r="AJ16" s="34" t="s">
        <v>599</v>
      </c>
      <c r="AK16" s="34" t="s">
        <v>722</v>
      </c>
      <c r="AL16" s="34" t="s">
        <v>709</v>
      </c>
    </row>
    <row r="17" spans="2:38" ht="119" hidden="1" x14ac:dyDescent="0.2">
      <c r="B17" s="35" t="s">
        <v>202</v>
      </c>
      <c r="C17" s="35">
        <v>11</v>
      </c>
      <c r="D17" s="59" t="s">
        <v>961</v>
      </c>
      <c r="E17" s="35">
        <v>29016288</v>
      </c>
      <c r="F17" s="34" t="e">
        <f>_xlfn.XLOOKUP(Outcome[[#This Row],[Ref ID]],#REF!,#REF!, "-")</f>
        <v>#REF!</v>
      </c>
      <c r="G17" s="35" t="e">
        <f>_xlfn.XLOOKUP(Outcome[[#This Row],[Ref ID]],#REF!,#REF!, "-")</f>
        <v>#REF!</v>
      </c>
      <c r="H17" s="35" t="e">
        <f>_xlfn.XLOOKUP(Outcome[[#This Row],[Ref ID]],#REF!,#REF!, "-")</f>
        <v>#REF!</v>
      </c>
      <c r="I17" s="59" t="s">
        <v>896</v>
      </c>
      <c r="J17" s="59" t="s">
        <v>910</v>
      </c>
      <c r="M17" s="59" t="s">
        <v>914</v>
      </c>
      <c r="N17" s="59" t="s">
        <v>920</v>
      </c>
      <c r="O17" s="58" t="s">
        <v>816</v>
      </c>
      <c r="P17" s="58" t="s">
        <v>933</v>
      </c>
      <c r="Q17" s="34" t="s">
        <v>352</v>
      </c>
      <c r="R17" s="34">
        <v>100</v>
      </c>
      <c r="S17" s="34">
        <v>100</v>
      </c>
      <c r="T17" s="34">
        <f>Outcome[[#This Row],[Number of enrolled patients]]-Outcome[[#This Row],[Number of patients achieving initial cure ]]</f>
        <v>0</v>
      </c>
      <c r="U17" s="34" t="s">
        <v>823</v>
      </c>
      <c r="V17" s="34" t="s">
        <v>352</v>
      </c>
      <c r="W17" s="34" t="s">
        <v>456</v>
      </c>
      <c r="X17" s="34"/>
      <c r="Y17" s="34">
        <v>95</v>
      </c>
      <c r="Z17" s="34">
        <f>Outcome[[#This Row],[Number of patients achieving initial cure ]]-Outcome[[#This Row],[Number of patients achieving definitive cure (i.e. of those achieving initial cure, also known as definitive cure)]]</f>
        <v>5</v>
      </c>
      <c r="AA17" s="34" t="s">
        <v>824</v>
      </c>
      <c r="AB17" s="34" t="s">
        <v>378</v>
      </c>
      <c r="AC17" s="34">
        <v>2</v>
      </c>
      <c r="AD17" s="34" t="s">
        <v>352</v>
      </c>
      <c r="AE17" s="34">
        <v>0</v>
      </c>
      <c r="AF17" s="34">
        <v>0</v>
      </c>
      <c r="AG17" s="34">
        <v>0</v>
      </c>
      <c r="AH17" s="34">
        <v>0</v>
      </c>
      <c r="AI17" s="34" t="s">
        <v>456</v>
      </c>
      <c r="AJ17" s="34" t="s">
        <v>791</v>
      </c>
      <c r="AK17" s="34" t="s">
        <v>825</v>
      </c>
      <c r="AL17" s="34" t="s">
        <v>826</v>
      </c>
    </row>
    <row r="18" spans="2:38" ht="153" hidden="1" x14ac:dyDescent="0.2">
      <c r="B18" s="35" t="s">
        <v>222</v>
      </c>
      <c r="C18" s="35">
        <v>12</v>
      </c>
      <c r="D18" s="59" t="s">
        <v>961</v>
      </c>
      <c r="E18" s="35">
        <v>21129762</v>
      </c>
      <c r="F18" s="34" t="e">
        <f>_xlfn.XLOOKUP(Outcome[[#This Row],[Ref ID]],#REF!,#REF!, "-")</f>
        <v>#REF!</v>
      </c>
      <c r="G18" s="35" t="e">
        <f>_xlfn.XLOOKUP(Outcome[[#This Row],[Ref ID]],#REF!,#REF!, "-")</f>
        <v>#REF!</v>
      </c>
      <c r="H18" s="35" t="e">
        <f>_xlfn.XLOOKUP(Outcome[[#This Row],[Ref ID]],#REF!,#REF!, "-")</f>
        <v>#REF!</v>
      </c>
      <c r="I18" s="59" t="s">
        <v>900</v>
      </c>
      <c r="J18" s="59" t="s">
        <v>911</v>
      </c>
      <c r="M18" s="59" t="s">
        <v>895</v>
      </c>
      <c r="N18" s="59" t="s">
        <v>905</v>
      </c>
      <c r="P18" s="34" t="s">
        <v>933</v>
      </c>
      <c r="Q18" s="34" t="s">
        <v>382</v>
      </c>
      <c r="R18" s="34">
        <v>135</v>
      </c>
      <c r="S18" s="34">
        <v>131</v>
      </c>
      <c r="T18" s="34">
        <f>Outcome[[#This Row],[Number of enrolled patients]]-Outcome[[#This Row],[Number of patients achieving initial cure ]]</f>
        <v>4</v>
      </c>
      <c r="U18" s="34" t="s">
        <v>834</v>
      </c>
      <c r="V18" s="34" t="s">
        <v>352</v>
      </c>
      <c r="W18" s="34"/>
      <c r="X18" s="34"/>
      <c r="Y18" s="34">
        <v>124</v>
      </c>
      <c r="Z18" s="34">
        <f>Outcome[[#This Row],[Number of patients achieving initial cure ]]-Outcome[[#This Row],[Number of patients achieving definitive cure (i.e. of those achieving initial cure, also known as definitive cure)]]</f>
        <v>7</v>
      </c>
      <c r="AA18" s="34" t="s">
        <v>952</v>
      </c>
      <c r="AB18" s="34" t="s">
        <v>378</v>
      </c>
      <c r="AC18" s="34">
        <v>3</v>
      </c>
      <c r="AD18" s="34" t="s">
        <v>352</v>
      </c>
      <c r="AE18" s="34">
        <v>1</v>
      </c>
      <c r="AF18" s="34">
        <v>1</v>
      </c>
      <c r="AG18" s="34">
        <v>0</v>
      </c>
      <c r="AH18" s="34">
        <v>0</v>
      </c>
      <c r="AI18" s="34" t="s">
        <v>835</v>
      </c>
      <c r="AJ18" s="34" t="s">
        <v>382</v>
      </c>
      <c r="AK18" s="34" t="s">
        <v>836</v>
      </c>
      <c r="AL18" s="58" t="s">
        <v>837</v>
      </c>
    </row>
    <row r="19" spans="2:38" ht="153" hidden="1" x14ac:dyDescent="0.2">
      <c r="B19" s="35" t="s">
        <v>321</v>
      </c>
      <c r="C19" s="35">
        <v>13</v>
      </c>
      <c r="D19" s="59" t="s">
        <v>961</v>
      </c>
      <c r="E19" s="35">
        <v>21129762</v>
      </c>
      <c r="F19" s="34" t="e">
        <f>_xlfn.XLOOKUP(Outcome[[#This Row],[Ref ID]],#REF!,#REF!, "-")</f>
        <v>#REF!</v>
      </c>
      <c r="G19" s="35" t="e">
        <f>_xlfn.XLOOKUP(Outcome[[#This Row],[Ref ID]],#REF!,#REF!, "-")</f>
        <v>#REF!</v>
      </c>
      <c r="H19" s="35" t="e">
        <f>_xlfn.XLOOKUP(Outcome[[#This Row],[Ref ID]],#REF!,#REF!, "-")</f>
        <v>#REF!</v>
      </c>
      <c r="I19" s="59" t="s">
        <v>900</v>
      </c>
      <c r="J19" s="59" t="s">
        <v>911</v>
      </c>
      <c r="M19" s="59" t="s">
        <v>895</v>
      </c>
      <c r="N19" s="59" t="s">
        <v>905</v>
      </c>
      <c r="P19" s="34" t="s">
        <v>933</v>
      </c>
      <c r="Q19" s="34" t="s">
        <v>382</v>
      </c>
      <c r="R19" s="34">
        <v>135</v>
      </c>
      <c r="S19" s="34">
        <v>131</v>
      </c>
      <c r="T19" s="34">
        <f>Outcome[[#This Row],[Number of enrolled patients]]-Outcome[[#This Row],[Number of patients achieving initial cure ]]</f>
        <v>4</v>
      </c>
      <c r="U19" s="34" t="s">
        <v>834</v>
      </c>
      <c r="V19" s="34" t="s">
        <v>352</v>
      </c>
      <c r="W19" s="34"/>
      <c r="X19" s="34"/>
      <c r="Y19" s="34">
        <v>124</v>
      </c>
      <c r="Z19" s="34">
        <f>Outcome[[#This Row],[Number of patients achieving initial cure ]]-Outcome[[#This Row],[Number of patients achieving definitive cure (i.e. of those achieving initial cure, also known as definitive cure)]]</f>
        <v>7</v>
      </c>
      <c r="AA19" s="34" t="s">
        <v>952</v>
      </c>
      <c r="AB19" s="34" t="s">
        <v>378</v>
      </c>
      <c r="AC19" s="34">
        <v>3</v>
      </c>
      <c r="AD19" s="34" t="s">
        <v>352</v>
      </c>
      <c r="AE19" s="34">
        <v>1</v>
      </c>
      <c r="AF19" s="34">
        <v>1</v>
      </c>
      <c r="AG19" s="34">
        <v>0</v>
      </c>
      <c r="AH19" s="34">
        <v>0</v>
      </c>
      <c r="AI19" s="34" t="s">
        <v>835</v>
      </c>
      <c r="AJ19" s="34" t="s">
        <v>382</v>
      </c>
      <c r="AK19" s="34" t="s">
        <v>836</v>
      </c>
      <c r="AL19" s="58" t="s">
        <v>837</v>
      </c>
    </row>
    <row r="20" spans="2:38" ht="170" hidden="1" x14ac:dyDescent="0.2">
      <c r="B20" s="35" t="s">
        <v>228</v>
      </c>
      <c r="C20" s="35">
        <v>14</v>
      </c>
      <c r="D20" s="59" t="s">
        <v>961</v>
      </c>
      <c r="E20" s="35">
        <v>19436614</v>
      </c>
      <c r="F20" s="34" t="e">
        <f>_xlfn.XLOOKUP(Outcome[[#This Row],[Ref ID]],#REF!,#REF!, "-")</f>
        <v>#REF!</v>
      </c>
      <c r="G20" s="35" t="e">
        <f>_xlfn.XLOOKUP(Outcome[[#This Row],[Ref ID]],#REF!,#REF!, "-")</f>
        <v>#REF!</v>
      </c>
      <c r="H20" s="35" t="e">
        <f>_xlfn.XLOOKUP(Outcome[[#This Row],[Ref ID]],#REF!,#REF!, "-")</f>
        <v>#REF!</v>
      </c>
      <c r="J20" s="59" t="s">
        <v>912</v>
      </c>
      <c r="L20" s="59" t="s">
        <v>912</v>
      </c>
      <c r="N20" s="59" t="s">
        <v>912</v>
      </c>
      <c r="O20" s="34" t="s">
        <v>838</v>
      </c>
      <c r="P20" s="34" t="s">
        <v>933</v>
      </c>
      <c r="Q20" s="34" t="s">
        <v>382</v>
      </c>
      <c r="R20" s="34">
        <v>82</v>
      </c>
      <c r="S20" s="34">
        <f>34+39</f>
        <v>73</v>
      </c>
      <c r="T20" s="34">
        <f>Outcome[[#This Row],[Number of enrolled patients]]-Outcome[[#This Row],[Number of patients achieving initial cure ]]</f>
        <v>9</v>
      </c>
      <c r="U20" s="34" t="s">
        <v>953</v>
      </c>
      <c r="V20" s="34" t="s">
        <v>352</v>
      </c>
      <c r="W20" s="34" t="s">
        <v>845</v>
      </c>
      <c r="X20" s="34"/>
      <c r="Y20" s="34">
        <f>38+30</f>
        <v>68</v>
      </c>
      <c r="Z20" s="34">
        <f>Outcome[[#This Row],[Number of patients achieving initial cure ]]-Outcome[[#This Row],[Number of patients achieving definitive cure (i.e. of those achieving initial cure, also known as definitive cure)]]</f>
        <v>5</v>
      </c>
      <c r="AA20" s="34" t="s">
        <v>954</v>
      </c>
      <c r="AB20" s="34" t="s">
        <v>378</v>
      </c>
      <c r="AC20" s="34">
        <v>5</v>
      </c>
      <c r="AD20" s="34" t="s">
        <v>352</v>
      </c>
      <c r="AE20" s="34">
        <v>0</v>
      </c>
      <c r="AF20" s="34">
        <v>0</v>
      </c>
      <c r="AG20" s="34">
        <v>0</v>
      </c>
      <c r="AH20" s="34">
        <v>0</v>
      </c>
      <c r="AI20" s="34" t="s">
        <v>456</v>
      </c>
      <c r="AJ20" s="34" t="s">
        <v>791</v>
      </c>
      <c r="AL20" s="34" t="s">
        <v>846</v>
      </c>
    </row>
    <row r="21" spans="2:38" ht="119" hidden="1" x14ac:dyDescent="0.2">
      <c r="B21" s="35" t="s">
        <v>259</v>
      </c>
      <c r="D21" s="59" t="s">
        <v>962</v>
      </c>
      <c r="E21" s="35">
        <v>30188978</v>
      </c>
      <c r="F21" s="34" t="e">
        <f>_xlfn.XLOOKUP(Outcome[[#This Row],[Ref ID]],#REF!,#REF!, "-")</f>
        <v>#REF!</v>
      </c>
      <c r="G21" s="35" t="e">
        <f>_xlfn.XLOOKUP(Outcome[[#This Row],[Ref ID]],#REF!,#REF!, "-")</f>
        <v>#REF!</v>
      </c>
      <c r="H21" s="35" t="e">
        <f>_xlfn.XLOOKUP(Outcome[[#This Row],[Ref ID]],#REF!,#REF!, "-")</f>
        <v>#REF!</v>
      </c>
      <c r="I21" s="59" t="s">
        <v>893</v>
      </c>
      <c r="J21" s="59" t="s">
        <v>916</v>
      </c>
      <c r="K21" s="59" t="s">
        <v>895</v>
      </c>
      <c r="L21" s="59" t="s">
        <v>916</v>
      </c>
      <c r="M21" s="59" t="s">
        <v>456</v>
      </c>
      <c r="N21" s="59" t="s">
        <v>456</v>
      </c>
      <c r="O21" s="34" t="s">
        <v>1022</v>
      </c>
      <c r="P21" s="34" t="s">
        <v>1034</v>
      </c>
      <c r="Q21" s="34" t="s">
        <v>352</v>
      </c>
      <c r="R21" s="34">
        <v>30</v>
      </c>
      <c r="S21" s="34">
        <v>29</v>
      </c>
      <c r="T21" s="34">
        <v>1</v>
      </c>
      <c r="U21" s="34" t="s">
        <v>456</v>
      </c>
      <c r="V21" s="34" t="s">
        <v>352</v>
      </c>
      <c r="W21" s="34" t="s">
        <v>456</v>
      </c>
      <c r="X21" s="34" t="s">
        <v>1035</v>
      </c>
      <c r="Y21" s="34">
        <v>27</v>
      </c>
      <c r="Z21" s="34">
        <v>0</v>
      </c>
      <c r="AA21" s="34" t="s">
        <v>456</v>
      </c>
      <c r="AB21" s="34" t="s">
        <v>378</v>
      </c>
      <c r="AC21" s="34">
        <v>2</v>
      </c>
      <c r="AD21" s="34" t="s">
        <v>352</v>
      </c>
      <c r="AE21" s="34">
        <v>0</v>
      </c>
      <c r="AF21" s="34">
        <v>0</v>
      </c>
      <c r="AG21" s="34">
        <v>0</v>
      </c>
      <c r="AH21" s="34">
        <v>0</v>
      </c>
      <c r="AI21" s="34">
        <v>0</v>
      </c>
      <c r="AJ21" s="34" t="s">
        <v>791</v>
      </c>
      <c r="AK21" s="34" t="s">
        <v>1036</v>
      </c>
      <c r="AL21" s="34" t="s">
        <v>1037</v>
      </c>
    </row>
    <row r="22" spans="2:38" ht="119" hidden="1" x14ac:dyDescent="0.2">
      <c r="B22" s="35" t="s">
        <v>266</v>
      </c>
      <c r="D22" s="59" t="s">
        <v>962</v>
      </c>
      <c r="E22" s="35">
        <v>10886792</v>
      </c>
      <c r="F22" s="34" t="e">
        <f>_xlfn.XLOOKUP(Outcome[[#This Row],[Ref ID]],#REF!,#REF!, "-")</f>
        <v>#REF!</v>
      </c>
      <c r="G22" s="35" t="e">
        <f>_xlfn.XLOOKUP(Outcome[[#This Row],[Ref ID]],#REF!,#REF!, "-")</f>
        <v>#REF!</v>
      </c>
      <c r="H22" s="35" t="e">
        <f>_xlfn.XLOOKUP(Outcome[[#This Row],[Ref ID]],#REF!,#REF!, "-")</f>
        <v>#REF!</v>
      </c>
      <c r="I22" s="59" t="s">
        <v>914</v>
      </c>
      <c r="J22" s="59" t="s">
        <v>1040</v>
      </c>
      <c r="K22" s="59" t="s">
        <v>901</v>
      </c>
      <c r="L22" s="59" t="s">
        <v>1040</v>
      </c>
      <c r="M22" s="59" t="s">
        <v>456</v>
      </c>
      <c r="N22" s="59" t="s">
        <v>456</v>
      </c>
      <c r="O22" s="34" t="s">
        <v>1041</v>
      </c>
      <c r="P22" s="34" t="s">
        <v>1034</v>
      </c>
      <c r="Q22" s="34" t="s">
        <v>352</v>
      </c>
      <c r="R22" s="34">
        <v>516</v>
      </c>
      <c r="S22" s="34" t="s">
        <v>1042</v>
      </c>
      <c r="T22" s="34">
        <f>516-(254+239)</f>
        <v>23</v>
      </c>
      <c r="U22" s="34" t="s">
        <v>1043</v>
      </c>
      <c r="V22" s="34" t="s">
        <v>352</v>
      </c>
      <c r="W22" s="34" t="s">
        <v>1044</v>
      </c>
      <c r="X22" s="34" t="s">
        <v>1045</v>
      </c>
      <c r="Y22" s="34">
        <f>219+210</f>
        <v>429</v>
      </c>
      <c r="Z22" s="34" t="s">
        <v>1046</v>
      </c>
      <c r="AA22" s="34" t="s">
        <v>1047</v>
      </c>
      <c r="AB22" s="34" t="s">
        <v>378</v>
      </c>
      <c r="AC22" s="34">
        <v>4</v>
      </c>
      <c r="AD22" s="34" t="s">
        <v>352</v>
      </c>
      <c r="AE22" s="34">
        <v>26</v>
      </c>
      <c r="AF22" s="34">
        <v>22</v>
      </c>
      <c r="AG22" s="34">
        <v>4</v>
      </c>
      <c r="AH22" s="34">
        <v>0</v>
      </c>
      <c r="AI22" s="34" t="s">
        <v>1048</v>
      </c>
      <c r="AJ22" s="34" t="s">
        <v>791</v>
      </c>
      <c r="AK22" s="34" t="s">
        <v>1049</v>
      </c>
      <c r="AL22" s="34" t="s">
        <v>1050</v>
      </c>
    </row>
    <row r="23" spans="2:38" ht="119" x14ac:dyDescent="0.2">
      <c r="B23" s="35" t="s">
        <v>271</v>
      </c>
      <c r="D23" s="59" t="s">
        <v>962</v>
      </c>
      <c r="E23" s="35">
        <v>27627654</v>
      </c>
      <c r="F23" s="34" t="s">
        <v>1062</v>
      </c>
      <c r="G23" s="35" t="s">
        <v>1063</v>
      </c>
      <c r="H23" s="35">
        <v>2016</v>
      </c>
      <c r="I23" s="59" t="s">
        <v>966</v>
      </c>
      <c r="J23" s="59" t="s">
        <v>918</v>
      </c>
      <c r="K23" s="59" t="s">
        <v>896</v>
      </c>
      <c r="L23" s="59" t="s">
        <v>903</v>
      </c>
      <c r="M23" s="59" t="s">
        <v>900</v>
      </c>
      <c r="N23" s="59" t="s">
        <v>903</v>
      </c>
      <c r="O23" s="34" t="s">
        <v>1041</v>
      </c>
      <c r="P23" s="34" t="s">
        <v>1054</v>
      </c>
      <c r="Q23" s="34" t="s">
        <v>352</v>
      </c>
      <c r="R23" s="34">
        <v>151</v>
      </c>
      <c r="S23" s="34">
        <v>138</v>
      </c>
      <c r="T23" s="34">
        <f>151-138</f>
        <v>13</v>
      </c>
      <c r="U23" s="34" t="s">
        <v>1069</v>
      </c>
      <c r="V23" s="34" t="s">
        <v>352</v>
      </c>
      <c r="W23" s="34"/>
      <c r="X23" s="34" t="s">
        <v>1072</v>
      </c>
      <c r="Y23" s="34">
        <v>125</v>
      </c>
      <c r="Z23" s="34" t="s">
        <v>1070</v>
      </c>
      <c r="AA23" s="34"/>
      <c r="AB23" s="34" t="s">
        <v>378</v>
      </c>
      <c r="AC23" s="34">
        <f>1+7+8</f>
        <v>16</v>
      </c>
      <c r="AD23" s="34" t="s">
        <v>352</v>
      </c>
      <c r="AE23" s="34">
        <v>2</v>
      </c>
      <c r="AF23" s="34">
        <v>1</v>
      </c>
      <c r="AG23" s="34">
        <v>1</v>
      </c>
      <c r="AH23" s="34">
        <v>0</v>
      </c>
      <c r="AI23" s="34" t="s">
        <v>456</v>
      </c>
      <c r="AJ23" s="34" t="s">
        <v>791</v>
      </c>
      <c r="AK23" s="34" t="s">
        <v>1071</v>
      </c>
    </row>
    <row r="24" spans="2:38" ht="85" hidden="1" x14ac:dyDescent="0.2">
      <c r="B24" s="35" t="s">
        <v>253</v>
      </c>
      <c r="C24" s="35">
        <v>15</v>
      </c>
      <c r="D24" s="59" t="s">
        <v>961</v>
      </c>
      <c r="E24" s="35">
        <v>27645786</v>
      </c>
      <c r="F24" s="34" t="e">
        <f>_xlfn.XLOOKUP(Outcome[[#This Row],[Ref ID]],#REF!,#REF!, "-")</f>
        <v>#REF!</v>
      </c>
      <c r="G24" s="35" t="e">
        <f>_xlfn.XLOOKUP(Outcome[[#This Row],[Ref ID]],#REF!,#REF!, "-")</f>
        <v>#REF!</v>
      </c>
      <c r="H24" s="35" t="e">
        <f>_xlfn.XLOOKUP(Outcome[[#This Row],[Ref ID]],#REF!,#REF!, "-")</f>
        <v>#REF!</v>
      </c>
      <c r="I24" s="59" t="s">
        <v>894</v>
      </c>
      <c r="J24" s="59" t="s">
        <v>903</v>
      </c>
      <c r="M24" s="59" t="s">
        <v>913</v>
      </c>
      <c r="N24" s="59" t="s">
        <v>916</v>
      </c>
      <c r="O24" s="34" t="s">
        <v>580</v>
      </c>
      <c r="P24" s="34" t="s">
        <v>933</v>
      </c>
      <c r="Q24" s="35" t="s">
        <v>352</v>
      </c>
      <c r="R24" s="34">
        <v>646</v>
      </c>
      <c r="S24" s="34">
        <v>629</v>
      </c>
      <c r="T24" s="34">
        <f>Outcome[[#This Row],[Number of enrolled patients]]-Outcome[[#This Row],[Number of patients achieving initial cure ]]</f>
        <v>17</v>
      </c>
      <c r="U24" s="34" t="s">
        <v>578</v>
      </c>
      <c r="V24" s="34" t="s">
        <v>352</v>
      </c>
      <c r="W24" s="34" t="s">
        <v>929</v>
      </c>
      <c r="X24" s="34"/>
      <c r="Y24" s="34">
        <v>553</v>
      </c>
      <c r="Z24" s="34">
        <f>Outcome[[#This Row],[Number of patients achieving initial cure ]]-Outcome[[#This Row],[Number of patients achieving definitive cure (i.e. of those achieving initial cure, also known as definitive cure)]]</f>
        <v>76</v>
      </c>
      <c r="AA24" s="34" t="s">
        <v>679</v>
      </c>
      <c r="AB24" s="34" t="s">
        <v>378</v>
      </c>
      <c r="AC24" s="34">
        <v>45</v>
      </c>
      <c r="AD24" s="34" t="s">
        <v>352</v>
      </c>
      <c r="AE24" s="34">
        <v>11</v>
      </c>
      <c r="AF24" s="34">
        <v>5</v>
      </c>
      <c r="AG24" s="34">
        <v>6</v>
      </c>
      <c r="AH24" s="34">
        <v>0</v>
      </c>
      <c r="AI24" s="34" t="s">
        <v>681</v>
      </c>
      <c r="AJ24" s="34" t="s">
        <v>599</v>
      </c>
      <c r="AK24" s="34" t="s">
        <v>579</v>
      </c>
      <c r="AL24" s="34" t="s">
        <v>680</v>
      </c>
    </row>
    <row r="25" spans="2:38" ht="68" hidden="1" x14ac:dyDescent="0.2">
      <c r="B25" s="35" t="s">
        <v>290</v>
      </c>
      <c r="C25" s="35">
        <v>16</v>
      </c>
      <c r="D25" s="59" t="s">
        <v>961</v>
      </c>
      <c r="E25" s="35">
        <v>18664241</v>
      </c>
      <c r="F25" s="34" t="e">
        <f>_xlfn.XLOOKUP(Outcome[[#This Row],[Ref ID]],#REF!,#REF!, "-")</f>
        <v>#REF!</v>
      </c>
      <c r="G25" s="35" t="e">
        <f>_xlfn.XLOOKUP(Outcome[[#This Row],[Ref ID]],#REF!,#REF!, "-")</f>
        <v>#REF!</v>
      </c>
      <c r="H25" s="35" t="e">
        <f>_xlfn.XLOOKUP(Outcome[[#This Row],[Ref ID]],#REF!,#REF!, "-")</f>
        <v>#REF!</v>
      </c>
      <c r="O25" s="34" t="s">
        <v>551</v>
      </c>
      <c r="P25" s="34" t="s">
        <v>933</v>
      </c>
      <c r="Q25" s="34" t="s">
        <v>382</v>
      </c>
      <c r="R25" s="34">
        <v>45</v>
      </c>
      <c r="S25" s="34">
        <v>45</v>
      </c>
      <c r="T25" s="34">
        <f>Outcome[[#This Row],[Number of enrolled patients]]-Outcome[[#This Row],[Number of patients achieving initial cure ]]</f>
        <v>0</v>
      </c>
      <c r="U25" s="34" t="s">
        <v>856</v>
      </c>
      <c r="V25" s="34" t="s">
        <v>352</v>
      </c>
      <c r="W25" s="34" t="s">
        <v>857</v>
      </c>
      <c r="X25" s="34"/>
      <c r="Y25" s="34">
        <v>41</v>
      </c>
      <c r="Z25" s="34">
        <f>Outcome[[#This Row],[Number of patients achieving initial cure ]]-Outcome[[#This Row],[Number of patients achieving definitive cure (i.e. of those achieving initial cure, also known as definitive cure)]]</f>
        <v>4</v>
      </c>
      <c r="AA25" s="34" t="s">
        <v>858</v>
      </c>
      <c r="AB25" s="34" t="s">
        <v>378</v>
      </c>
      <c r="AC25" s="34">
        <v>4</v>
      </c>
      <c r="AD25" s="34" t="s">
        <v>352</v>
      </c>
      <c r="AE25" s="34">
        <v>0</v>
      </c>
      <c r="AF25" s="34">
        <v>0</v>
      </c>
      <c r="AG25" s="34">
        <v>0</v>
      </c>
      <c r="AH25" s="34">
        <v>0</v>
      </c>
      <c r="AI25" s="34" t="s">
        <v>456</v>
      </c>
      <c r="AJ25" s="34" t="s">
        <v>791</v>
      </c>
      <c r="AK25" s="34" t="s">
        <v>859</v>
      </c>
      <c r="AL25" s="34" t="s">
        <v>860</v>
      </c>
    </row>
    <row r="26" spans="2:38" ht="119" hidden="1" x14ac:dyDescent="0.2">
      <c r="B26" s="35" t="s">
        <v>302</v>
      </c>
      <c r="D26" s="59" t="s">
        <v>962</v>
      </c>
      <c r="E26" s="35">
        <v>22724029</v>
      </c>
      <c r="F26" s="34" t="s">
        <v>1004</v>
      </c>
      <c r="G26" s="35" t="s">
        <v>978</v>
      </c>
      <c r="H26" s="35">
        <v>2012</v>
      </c>
      <c r="I26" s="59" t="s">
        <v>914</v>
      </c>
      <c r="J26" s="59" t="s">
        <v>917</v>
      </c>
      <c r="M26" s="59" t="s">
        <v>898</v>
      </c>
      <c r="N26" s="59" t="s">
        <v>918</v>
      </c>
      <c r="O26" s="34" t="s">
        <v>1005</v>
      </c>
      <c r="Q26" s="34" t="s">
        <v>1006</v>
      </c>
      <c r="R26" s="34" t="s">
        <v>1007</v>
      </c>
      <c r="S26" s="34" t="s">
        <v>1008</v>
      </c>
      <c r="T26" s="34" t="s">
        <v>456</v>
      </c>
      <c r="U26" s="34" t="s">
        <v>456</v>
      </c>
      <c r="V26" s="34" t="s">
        <v>456</v>
      </c>
      <c r="W26" s="34" t="s">
        <v>456</v>
      </c>
      <c r="X26" s="61" t="s">
        <v>1009</v>
      </c>
      <c r="Y26" s="61" t="s">
        <v>1010</v>
      </c>
      <c r="Z26" s="34" t="s">
        <v>935</v>
      </c>
      <c r="AA26" s="34" t="s">
        <v>1012</v>
      </c>
      <c r="AB26" s="34" t="s">
        <v>1011</v>
      </c>
      <c r="AC26" s="34"/>
      <c r="AD26" s="34" t="s">
        <v>382</v>
      </c>
      <c r="AE26" s="34">
        <v>7</v>
      </c>
      <c r="AF26" s="34">
        <v>5</v>
      </c>
      <c r="AG26" s="34">
        <v>2</v>
      </c>
      <c r="AH26" s="34" t="s">
        <v>456</v>
      </c>
      <c r="AI26" s="34" t="s">
        <v>456</v>
      </c>
      <c r="AJ26" s="34" t="s">
        <v>791</v>
      </c>
      <c r="AK26" s="34" t="s">
        <v>1013</v>
      </c>
      <c r="AL26" s="34" t="s">
        <v>1014</v>
      </c>
    </row>
    <row r="27" spans="2:38" ht="170" hidden="1" x14ac:dyDescent="0.2">
      <c r="B27" s="35" t="s">
        <v>295</v>
      </c>
      <c r="C27" s="35">
        <v>17</v>
      </c>
      <c r="D27" s="59" t="s">
        <v>961</v>
      </c>
      <c r="E27" s="35">
        <v>25510715</v>
      </c>
      <c r="F27" s="34" t="e">
        <f>_xlfn.XLOOKUP(Outcome[[#This Row],[Ref ID]],#REF!,#REF!, "-")</f>
        <v>#REF!</v>
      </c>
      <c r="G27" s="35" t="e">
        <f>_xlfn.XLOOKUP(Outcome[[#This Row],[Ref ID]],#REF!,#REF!, "-")</f>
        <v>#REF!</v>
      </c>
      <c r="H27" s="35" t="e">
        <f>_xlfn.XLOOKUP(Outcome[[#This Row],[Ref ID]],#REF!,#REF!, "-")</f>
        <v>#REF!</v>
      </c>
      <c r="O27" s="34" t="s">
        <v>551</v>
      </c>
      <c r="P27" s="34" t="s">
        <v>933</v>
      </c>
      <c r="Q27" s="34" t="s">
        <v>382</v>
      </c>
      <c r="R27" s="34">
        <v>30</v>
      </c>
      <c r="S27" s="34">
        <v>30</v>
      </c>
      <c r="T27" s="34">
        <v>0</v>
      </c>
      <c r="U27" s="34" t="s">
        <v>873</v>
      </c>
      <c r="V27" s="34" t="s">
        <v>352</v>
      </c>
      <c r="W27" s="34" t="s">
        <v>873</v>
      </c>
      <c r="X27" s="34"/>
      <c r="Y27" s="34">
        <v>28</v>
      </c>
      <c r="Z27" s="34">
        <f>Outcome[[#This Row],[Number of patients achieving initial cure ]]-Outcome[[#This Row],[Number of patients achieving definitive cure (i.e. of those achieving initial cure, also known as definitive cure)]]</f>
        <v>2</v>
      </c>
      <c r="AA27" s="34" t="s">
        <v>874</v>
      </c>
      <c r="AB27" s="34" t="s">
        <v>378</v>
      </c>
      <c r="AC27" s="34">
        <v>2</v>
      </c>
      <c r="AD27" s="34" t="s">
        <v>352</v>
      </c>
      <c r="AE27" s="34">
        <v>0</v>
      </c>
      <c r="AF27" s="34">
        <v>0</v>
      </c>
      <c r="AG27" s="34">
        <v>0</v>
      </c>
      <c r="AH27" s="34">
        <v>0</v>
      </c>
      <c r="AI27" s="34" t="s">
        <v>456</v>
      </c>
      <c r="AJ27" s="34" t="s">
        <v>791</v>
      </c>
      <c r="AK27" s="34" t="s">
        <v>875</v>
      </c>
    </row>
    <row r="28" spans="2:38" ht="102" hidden="1" x14ac:dyDescent="0.2">
      <c r="B28" s="35" t="s">
        <v>312</v>
      </c>
      <c r="D28" s="59" t="s">
        <v>962</v>
      </c>
      <c r="E28" s="34">
        <v>11816442</v>
      </c>
      <c r="F28" s="34" t="e">
        <f>_xlfn.XLOOKUP(Outcome[[#This Row],[Ref ID]],#REF!,#REF!, "-")</f>
        <v>#REF!</v>
      </c>
      <c r="G28" s="35" t="e">
        <f>_xlfn.XLOOKUP(Outcome[[#This Row],[Ref ID]],#REF!,#REF!, "-")</f>
        <v>#REF!</v>
      </c>
      <c r="H28" s="35" t="e">
        <f>_xlfn.XLOOKUP(Outcome[[#This Row],[Ref ID]],#REF!,#REF!, "-")</f>
        <v>#REF!</v>
      </c>
      <c r="I28" s="59" t="s">
        <v>914</v>
      </c>
      <c r="J28" s="59" t="s">
        <v>1040</v>
      </c>
      <c r="K28" s="59" t="s">
        <v>456</v>
      </c>
      <c r="L28" s="59" t="s">
        <v>456</v>
      </c>
      <c r="M28" s="59" t="s">
        <v>894</v>
      </c>
      <c r="N28" s="59" t="s">
        <v>909</v>
      </c>
      <c r="O28" s="34" t="s">
        <v>1041</v>
      </c>
      <c r="P28" s="34" t="s">
        <v>1054</v>
      </c>
      <c r="Q28" s="34" t="s">
        <v>382</v>
      </c>
      <c r="R28" s="34">
        <v>199</v>
      </c>
      <c r="S28" s="34">
        <v>149</v>
      </c>
      <c r="T28" s="34">
        <f>199 -149</f>
        <v>50</v>
      </c>
      <c r="U28" s="34" t="s">
        <v>1055</v>
      </c>
      <c r="V28" s="34" t="s">
        <v>352</v>
      </c>
      <c r="W28" s="34" t="s">
        <v>1056</v>
      </c>
      <c r="X28" s="34" t="s">
        <v>1057</v>
      </c>
      <c r="Y28" s="34">
        <v>112</v>
      </c>
      <c r="Z28" s="34" t="s">
        <v>1058</v>
      </c>
      <c r="AA28" s="34" t="s">
        <v>1059</v>
      </c>
      <c r="AB28" s="34" t="s">
        <v>378</v>
      </c>
      <c r="AC28" s="34" t="s">
        <v>1060</v>
      </c>
      <c r="AD28" s="34" t="s">
        <v>352</v>
      </c>
      <c r="AE28" s="34">
        <v>52</v>
      </c>
      <c r="AF28" s="34">
        <v>48</v>
      </c>
      <c r="AG28" s="34">
        <v>4</v>
      </c>
      <c r="AH28" s="34">
        <v>0</v>
      </c>
      <c r="AI28" s="34" t="s">
        <v>1048</v>
      </c>
      <c r="AJ28" s="34" t="s">
        <v>791</v>
      </c>
      <c r="AK28" s="34" t="s">
        <v>1061</v>
      </c>
      <c r="AL28" s="34" t="s">
        <v>1050</v>
      </c>
    </row>
    <row r="29" spans="2:38" ht="119" hidden="1" x14ac:dyDescent="0.2">
      <c r="B29" s="35" t="s">
        <v>309</v>
      </c>
      <c r="C29" s="35">
        <v>18</v>
      </c>
      <c r="D29" s="59" t="s">
        <v>961</v>
      </c>
      <c r="E29" s="35">
        <v>31436156</v>
      </c>
      <c r="F29" s="34" t="e">
        <f>_xlfn.XLOOKUP(Outcome[[#This Row],[Ref ID]],#REF!,#REF!, "-")</f>
        <v>#REF!</v>
      </c>
      <c r="G29" s="34" t="e">
        <f>_xlfn.XLOOKUP(Outcome[[#This Row],[Ref ID]],#REF!,#REF!, "-")</f>
        <v>#REF!</v>
      </c>
      <c r="H29" s="34" t="e">
        <f>_xlfn.XLOOKUP(Outcome[[#This Row],[Ref ID]],#REF!,#REF!, "-")</f>
        <v>#REF!</v>
      </c>
      <c r="I29" s="59" t="s">
        <v>893</v>
      </c>
      <c r="J29" s="59" t="s">
        <v>902</v>
      </c>
      <c r="M29" s="59" t="s">
        <v>913</v>
      </c>
      <c r="N29" s="59" t="s">
        <v>919</v>
      </c>
      <c r="O29" s="47" t="s">
        <v>572</v>
      </c>
      <c r="P29" s="47" t="s">
        <v>932</v>
      </c>
      <c r="Q29" s="35" t="s">
        <v>382</v>
      </c>
      <c r="R29" s="34">
        <v>1143</v>
      </c>
      <c r="S29" s="34">
        <v>1088</v>
      </c>
      <c r="T29" s="34">
        <f>Outcome[[#This Row],[Number of enrolled patients]]-Outcome[[#This Row],[Number of patients achieving initial cure ]]</f>
        <v>55</v>
      </c>
      <c r="U29" s="34" t="s">
        <v>678</v>
      </c>
      <c r="V29" s="34" t="s">
        <v>352</v>
      </c>
      <c r="W29" s="34"/>
      <c r="X29" s="34"/>
      <c r="Y29" s="34" t="s">
        <v>156</v>
      </c>
      <c r="Z29" s="34" t="s">
        <v>156</v>
      </c>
      <c r="AA29" s="34" t="s">
        <v>544</v>
      </c>
      <c r="AB29" s="34" t="s">
        <v>378</v>
      </c>
      <c r="AC29" s="34">
        <v>34</v>
      </c>
      <c r="AD29" s="34" t="s">
        <v>382</v>
      </c>
      <c r="AE29" s="34">
        <v>0</v>
      </c>
      <c r="AF29" s="34">
        <v>0</v>
      </c>
      <c r="AG29" s="34">
        <v>0</v>
      </c>
      <c r="AH29" s="34">
        <v>0</v>
      </c>
      <c r="AI29" s="34" t="s">
        <v>674</v>
      </c>
      <c r="AJ29" s="34" t="s">
        <v>676</v>
      </c>
      <c r="AK29" s="34" t="s">
        <v>394</v>
      </c>
      <c r="AL29" s="34" t="s">
        <v>677</v>
      </c>
    </row>
    <row r="30" spans="2:38" ht="272" hidden="1" x14ac:dyDescent="0.2">
      <c r="B30" s="35" t="s">
        <v>322</v>
      </c>
      <c r="C30" s="35">
        <v>19</v>
      </c>
      <c r="D30" s="59" t="s">
        <v>961</v>
      </c>
      <c r="E30" s="35">
        <v>17582067</v>
      </c>
      <c r="F30" s="34" t="e">
        <f>_xlfn.XLOOKUP(Outcome[[#This Row],[Ref ID]],#REF!,#REF!, "-")</f>
        <v>#REF!</v>
      </c>
      <c r="G30" s="35" t="e">
        <f>_xlfn.XLOOKUP(Outcome[[#This Row],[Ref ID]],#REF!,#REF!, "-")</f>
        <v>#REF!</v>
      </c>
      <c r="H30" s="35" t="e">
        <f>_xlfn.XLOOKUP(Outcome[[#This Row],[Ref ID]],#REF!,#REF!, "-")</f>
        <v>#REF!</v>
      </c>
      <c r="I30" s="59" t="s">
        <v>893</v>
      </c>
      <c r="J30" s="59" t="s">
        <v>906</v>
      </c>
      <c r="M30" s="59" t="s">
        <v>914</v>
      </c>
      <c r="N30" s="59" t="s">
        <v>917</v>
      </c>
      <c r="O30" s="34" t="s">
        <v>741</v>
      </c>
      <c r="P30" s="34" t="s">
        <v>956</v>
      </c>
      <c r="Q30" s="34" t="s">
        <v>352</v>
      </c>
      <c r="R30" s="34">
        <v>667</v>
      </c>
      <c r="S30" s="34">
        <v>657</v>
      </c>
      <c r="T30" s="34">
        <f>Outcome[[#This Row],[Number of enrolled patients]]-Outcome[[#This Row],[Number of patients achieving initial cure ]]</f>
        <v>10</v>
      </c>
      <c r="U30" s="34" t="s">
        <v>943</v>
      </c>
      <c r="V30" s="34" t="s">
        <v>352</v>
      </c>
      <c r="W30" s="34" t="s">
        <v>942</v>
      </c>
      <c r="X30" s="34"/>
      <c r="Y30" s="34">
        <f>474+163</f>
        <v>637</v>
      </c>
      <c r="Z30" s="34">
        <f>Outcome[[#This Row],[Number of patients achieving initial cure ]]-Outcome[[#This Row],[Number of patients achieving definitive cure (i.e. of those achieving initial cure, also known as definitive cure)]]</f>
        <v>20</v>
      </c>
      <c r="AA30" s="34" t="s">
        <v>750</v>
      </c>
      <c r="AB30" s="34" t="s">
        <v>378</v>
      </c>
      <c r="AC30" s="34">
        <v>22</v>
      </c>
      <c r="AD30" s="34" t="s">
        <v>382</v>
      </c>
      <c r="AE30" s="34">
        <v>4</v>
      </c>
      <c r="AF30" s="34">
        <v>4</v>
      </c>
      <c r="AG30" s="34">
        <v>0</v>
      </c>
      <c r="AH30" s="34">
        <v>0</v>
      </c>
      <c r="AI30" s="34" t="s">
        <v>751</v>
      </c>
      <c r="AJ30" s="34" t="s">
        <v>752</v>
      </c>
      <c r="AK30" s="34" t="s">
        <v>753</v>
      </c>
      <c r="AL30" s="34" t="s">
        <v>944</v>
      </c>
    </row>
    <row r="31" spans="2:38" ht="136" hidden="1" x14ac:dyDescent="0.2">
      <c r="B31" s="35" t="s">
        <v>330</v>
      </c>
      <c r="C31" s="35">
        <v>20</v>
      </c>
      <c r="D31" s="59" t="s">
        <v>961</v>
      </c>
      <c r="E31" s="35">
        <v>22573856</v>
      </c>
      <c r="F31" s="34" t="e">
        <f>_xlfn.XLOOKUP(Outcome[[#This Row],[Ref ID]],#REF!,#REF!, "-")</f>
        <v>#REF!</v>
      </c>
      <c r="G31" s="35" t="e">
        <f>_xlfn.XLOOKUP(Outcome[[#This Row],[Ref ID]],#REF!,#REF!, "-")</f>
        <v>#REF!</v>
      </c>
      <c r="H31" s="35" t="e">
        <f>_xlfn.XLOOKUP(Outcome[[#This Row],[Ref ID]],#REF!,#REF!, "-")</f>
        <v>#REF!</v>
      </c>
      <c r="I31" s="59" t="s">
        <v>895</v>
      </c>
      <c r="J31" s="59" t="s">
        <v>905</v>
      </c>
      <c r="M31" s="59" t="s">
        <v>914</v>
      </c>
      <c r="N31" s="59" t="s">
        <v>918</v>
      </c>
      <c r="P31" s="34" t="s">
        <v>933</v>
      </c>
      <c r="Q31" s="35" t="s">
        <v>352</v>
      </c>
      <c r="R31" s="34">
        <v>567</v>
      </c>
      <c r="S31" s="34">
        <v>553</v>
      </c>
      <c r="T31" s="34">
        <f>Outcome[[#This Row],[Number of enrolled patients]]-Outcome[[#This Row],[Number of patients achieving initial cure ]]</f>
        <v>14</v>
      </c>
      <c r="U31" s="34" t="s">
        <v>660</v>
      </c>
      <c r="V31" s="34" t="s">
        <v>352</v>
      </c>
      <c r="W31" s="34" t="s">
        <v>686</v>
      </c>
      <c r="X31" s="34"/>
      <c r="Y31" s="34">
        <v>512</v>
      </c>
      <c r="Z31" s="34">
        <f>Outcome[[#This Row],[Number of patients achieving initial cure ]]-Outcome[[#This Row],[Number of patients achieving definitive cure (i.e. of those achieving initial cure, also known as definitive cure)]]</f>
        <v>41</v>
      </c>
      <c r="AA31" s="34" t="s">
        <v>687</v>
      </c>
      <c r="AB31" s="34" t="s">
        <v>378</v>
      </c>
      <c r="AC31" s="34">
        <v>39</v>
      </c>
      <c r="AD31" s="34" t="s">
        <v>352</v>
      </c>
      <c r="AE31" s="34">
        <v>5</v>
      </c>
      <c r="AF31" s="34">
        <v>2</v>
      </c>
      <c r="AG31" s="34">
        <v>3</v>
      </c>
      <c r="AH31" s="34">
        <v>0</v>
      </c>
      <c r="AI31" s="34" t="s">
        <v>688</v>
      </c>
      <c r="AJ31" s="34" t="s">
        <v>599</v>
      </c>
      <c r="AK31" s="34" t="s">
        <v>708</v>
      </c>
      <c r="AL31" s="34" t="s">
        <v>709</v>
      </c>
    </row>
    <row r="32" spans="2:38" ht="187" hidden="1" x14ac:dyDescent="0.2">
      <c r="B32" s="35" t="s">
        <v>340</v>
      </c>
      <c r="D32" s="59" t="s">
        <v>961</v>
      </c>
      <c r="E32" s="35">
        <v>21255828</v>
      </c>
      <c r="F32" s="34" t="e">
        <f>_xlfn.XLOOKUP(Outcome[[#This Row],[Ref ID]],#REF!,#REF!, "-")</f>
        <v>#REF!</v>
      </c>
      <c r="G32" s="35" t="e">
        <f>_xlfn.XLOOKUP(Outcome[[#This Row],[Ref ID]],#REF!,#REF!, "-")</f>
        <v>#REF!</v>
      </c>
      <c r="H32" s="35" t="e">
        <f>_xlfn.XLOOKUP(Outcome[[#This Row],[Ref ID]],#REF!,#REF!, "-")</f>
        <v>#REF!</v>
      </c>
      <c r="I32" s="59" t="s">
        <v>893</v>
      </c>
      <c r="J32" s="59" t="s">
        <v>904</v>
      </c>
      <c r="K32" s="59" t="s">
        <v>899</v>
      </c>
      <c r="L32" s="59" t="s">
        <v>905</v>
      </c>
      <c r="O32" s="34" t="s">
        <v>682</v>
      </c>
      <c r="P32" s="34" t="s">
        <v>934</v>
      </c>
      <c r="Q32" s="35" t="s">
        <v>352</v>
      </c>
      <c r="R32" s="34">
        <v>634</v>
      </c>
      <c r="S32" s="34">
        <f>618+4</f>
        <v>622</v>
      </c>
      <c r="T32" s="34">
        <f>Outcome[[#This Row],[Number of enrolled patients]]-Outcome[[#This Row],[Number of patients achieving initial cure ]]</f>
        <v>12</v>
      </c>
      <c r="U32" s="34" t="s">
        <v>927</v>
      </c>
      <c r="V32" s="34" t="s">
        <v>382</v>
      </c>
      <c r="W32" s="34" t="s">
        <v>928</v>
      </c>
      <c r="X32" s="34"/>
      <c r="Y32" s="34">
        <v>610</v>
      </c>
      <c r="Z32" s="34">
        <f>Outcome[[#This Row],[Number of patients achieving initial cure ]]-Outcome[[#This Row],[Number of patients achieving definitive cure (i.e. of those achieving initial cure, also known as definitive cure)]]</f>
        <v>12</v>
      </c>
      <c r="AA32" s="34" t="s">
        <v>930</v>
      </c>
      <c r="AB32" s="34" t="s">
        <v>378</v>
      </c>
      <c r="AC32" s="34">
        <v>8</v>
      </c>
      <c r="AD32" s="34" t="s">
        <v>935</v>
      </c>
      <c r="AE32" s="34">
        <v>2</v>
      </c>
      <c r="AF32" s="34">
        <v>1</v>
      </c>
      <c r="AG32" s="34">
        <v>1</v>
      </c>
      <c r="AH32" s="34">
        <v>0</v>
      </c>
      <c r="AI32" s="34" t="s">
        <v>684</v>
      </c>
      <c r="AJ32" s="34" t="s">
        <v>599</v>
      </c>
      <c r="AK32" s="34" t="s">
        <v>650</v>
      </c>
      <c r="AL32" s="34" t="s">
        <v>685</v>
      </c>
    </row>
  </sheetData>
  <phoneticPr fontId="7" type="noConversion"/>
  <dataValidations count="2">
    <dataValidation type="list" allowBlank="1" showInputMessage="1" showErrorMessage="1" sqref="B4:B10 B12" xr:uid="{A6E59FE6-8D4F-4B48-A214-402D4BC757D1}">
      <formula1>STUDYID</formula1>
    </dataValidation>
    <dataValidation type="list" allowBlank="1" showInputMessage="1" showErrorMessage="1" sqref="E4:H26 E28:H28 G29" xr:uid="{B2E4C3CA-C82E-2D42-9BF4-C508D1A8EEEC}">
      <formula1>Ref_ID</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ED578-680A-DB4D-A575-B9A674E5C8F1}">
  <dimension ref="B3:AG35"/>
  <sheetViews>
    <sheetView topLeftCell="A3" zoomScale="113" workbookViewId="0">
      <pane xSplit="2" ySplit="4" topLeftCell="C10" activePane="bottomRight" state="frozen"/>
      <selection activeCell="A3" sqref="A3"/>
      <selection pane="topRight" activeCell="C3" sqref="C3"/>
      <selection pane="bottomLeft" activeCell="A7" sqref="A7"/>
      <selection pane="bottomRight" activeCell="B27" sqref="B27"/>
    </sheetView>
  </sheetViews>
  <sheetFormatPr baseColWidth="10" defaultColWidth="11" defaultRowHeight="28" customHeight="1" x14ac:dyDescent="0.2"/>
  <cols>
    <col min="1" max="1" width="11" style="35"/>
    <col min="2" max="2" width="20.1640625" style="35" customWidth="1"/>
    <col min="3" max="19" width="21.83203125" style="35" customWidth="1"/>
    <col min="20" max="30" width="19.5" style="35" customWidth="1"/>
    <col min="31" max="31" width="100" style="35" bestFit="1" customWidth="1"/>
    <col min="32" max="32" width="19" style="35" customWidth="1"/>
    <col min="33" max="33" width="100" style="35" bestFit="1" customWidth="1"/>
    <col min="34" max="16384" width="11" style="35"/>
  </cols>
  <sheetData>
    <row r="3" spans="2:33" ht="28" customHeight="1" x14ac:dyDescent="0.2">
      <c r="C3" s="40" t="s">
        <v>0</v>
      </c>
    </row>
    <row r="5" spans="2:33" ht="28" customHeight="1" x14ac:dyDescent="0.2">
      <c r="C5" s="38" t="s">
        <v>353</v>
      </c>
      <c r="D5" s="38"/>
      <c r="E5" s="38"/>
      <c r="F5" s="38"/>
      <c r="G5" s="37" t="s">
        <v>356</v>
      </c>
      <c r="H5" s="37"/>
      <c r="I5" s="37"/>
      <c r="J5" s="37"/>
      <c r="K5" s="37"/>
      <c r="L5" s="36" t="s">
        <v>364</v>
      </c>
      <c r="M5" s="36"/>
      <c r="N5" s="36"/>
      <c r="O5" s="36"/>
      <c r="P5" s="36"/>
      <c r="Q5" s="36"/>
      <c r="R5" s="36"/>
      <c r="S5" s="36"/>
      <c r="T5" s="36" t="s">
        <v>1074</v>
      </c>
      <c r="U5" s="36"/>
      <c r="V5" s="36"/>
      <c r="W5" s="36"/>
      <c r="X5" s="36"/>
      <c r="Y5" s="36"/>
      <c r="Z5" s="36"/>
      <c r="AA5" s="36"/>
      <c r="AB5" s="36"/>
      <c r="AC5" s="36"/>
      <c r="AD5" s="36"/>
      <c r="AE5" s="36"/>
      <c r="AF5" s="39" t="s">
        <v>373</v>
      </c>
      <c r="AG5" s="39"/>
    </row>
    <row r="6" spans="2:33" s="34" customFormat="1" ht="155" customHeight="1" x14ac:dyDescent="0.2">
      <c r="B6" s="34" t="s">
        <v>1</v>
      </c>
      <c r="C6" s="34" t="s">
        <v>354</v>
      </c>
      <c r="D6" s="34" t="s">
        <v>355</v>
      </c>
      <c r="E6" s="34" t="s">
        <v>360</v>
      </c>
      <c r="F6" s="34" t="s">
        <v>361</v>
      </c>
      <c r="G6" s="34" t="s">
        <v>357</v>
      </c>
      <c r="H6" s="34" t="s">
        <v>358</v>
      </c>
      <c r="I6" s="34" t="s">
        <v>359</v>
      </c>
      <c r="J6" s="34" t="s">
        <v>362</v>
      </c>
      <c r="K6" s="34" t="s">
        <v>363</v>
      </c>
      <c r="L6" s="34" t="s">
        <v>365</v>
      </c>
      <c r="M6" s="34" t="s">
        <v>366</v>
      </c>
      <c r="N6" s="34" t="s">
        <v>367</v>
      </c>
      <c r="O6" s="34" t="s">
        <v>368</v>
      </c>
      <c r="P6" s="34" t="s">
        <v>369</v>
      </c>
      <c r="Q6" s="34" t="s">
        <v>370</v>
      </c>
      <c r="R6" s="34" t="s">
        <v>371</v>
      </c>
      <c r="S6" s="34" t="s">
        <v>372</v>
      </c>
      <c r="T6" s="34" t="s">
        <v>1091</v>
      </c>
      <c r="U6" s="34" t="s">
        <v>1075</v>
      </c>
      <c r="V6" s="34" t="s">
        <v>1076</v>
      </c>
      <c r="W6" s="34" t="s">
        <v>1092</v>
      </c>
      <c r="X6" s="34" t="s">
        <v>1166</v>
      </c>
      <c r="Y6" s="34" t="s">
        <v>1077</v>
      </c>
      <c r="Z6" s="34" t="s">
        <v>1109</v>
      </c>
      <c r="AA6" s="34" t="s">
        <v>1098</v>
      </c>
      <c r="AB6" s="34" t="s">
        <v>1108</v>
      </c>
      <c r="AC6" s="34" t="s">
        <v>1106</v>
      </c>
      <c r="AD6" s="34" t="s">
        <v>1107</v>
      </c>
      <c r="AE6" s="34" t="s">
        <v>375</v>
      </c>
      <c r="AF6" s="34" t="s">
        <v>374</v>
      </c>
      <c r="AG6" s="34" t="s">
        <v>540</v>
      </c>
    </row>
    <row r="7" spans="2:33" ht="28" customHeight="1" x14ac:dyDescent="0.2">
      <c r="B7" s="34" t="s">
        <v>41</v>
      </c>
      <c r="C7" s="35" t="s">
        <v>352</v>
      </c>
      <c r="D7" s="35" t="s">
        <v>352</v>
      </c>
      <c r="E7" s="35" t="s">
        <v>377</v>
      </c>
      <c r="G7" s="35" t="s">
        <v>383</v>
      </c>
      <c r="H7" s="35" t="s">
        <v>352</v>
      </c>
      <c r="I7" s="35" t="s">
        <v>352</v>
      </c>
      <c r="J7" s="35" t="s">
        <v>377</v>
      </c>
      <c r="L7" s="35" t="s">
        <v>352</v>
      </c>
      <c r="M7" s="35" t="s">
        <v>352</v>
      </c>
      <c r="N7" s="35" t="s">
        <v>352</v>
      </c>
      <c r="O7" s="35" t="s">
        <v>352</v>
      </c>
      <c r="P7" s="35" t="s">
        <v>352</v>
      </c>
      <c r="Q7" s="35" t="s">
        <v>352</v>
      </c>
      <c r="R7" s="35" t="s">
        <v>377</v>
      </c>
      <c r="T7" s="35" t="s">
        <v>352</v>
      </c>
      <c r="U7" s="35" t="s">
        <v>352</v>
      </c>
      <c r="V7" s="35" t="s">
        <v>352</v>
      </c>
      <c r="W7" s="35" t="s">
        <v>1027</v>
      </c>
      <c r="X7" s="35" t="s">
        <v>1027</v>
      </c>
      <c r="Y7" s="35" t="s">
        <v>1027</v>
      </c>
      <c r="Z7" s="35" t="s">
        <v>1027</v>
      </c>
      <c r="AA7" s="35" t="s">
        <v>1027</v>
      </c>
      <c r="AB7" s="35" t="s">
        <v>1093</v>
      </c>
      <c r="AC7" s="35" t="s">
        <v>1093</v>
      </c>
      <c r="AD7" s="35" t="s">
        <v>1093</v>
      </c>
      <c r="AE7" s="35" t="s">
        <v>1094</v>
      </c>
      <c r="AF7" s="35" t="s">
        <v>380</v>
      </c>
      <c r="AG7" s="35" t="s">
        <v>1097</v>
      </c>
    </row>
    <row r="8" spans="2:33" ht="28" customHeight="1" x14ac:dyDescent="0.2">
      <c r="B8" s="35" t="s">
        <v>91</v>
      </c>
      <c r="C8" s="35" t="s">
        <v>352</v>
      </c>
      <c r="D8" s="35" t="s">
        <v>352</v>
      </c>
      <c r="E8" s="35" t="s">
        <v>377</v>
      </c>
      <c r="G8" s="35" t="s">
        <v>352</v>
      </c>
      <c r="H8" s="35" t="s">
        <v>352</v>
      </c>
      <c r="I8" s="35" t="s">
        <v>352</v>
      </c>
      <c r="J8" s="35" t="s">
        <v>377</v>
      </c>
      <c r="L8" s="35" t="s">
        <v>352</v>
      </c>
      <c r="M8" s="35" t="s">
        <v>352</v>
      </c>
      <c r="N8" s="35" t="s">
        <v>352</v>
      </c>
      <c r="O8" s="35" t="s">
        <v>352</v>
      </c>
      <c r="P8" s="35" t="s">
        <v>352</v>
      </c>
      <c r="Q8" s="35" t="s">
        <v>352</v>
      </c>
      <c r="R8" s="35" t="s">
        <v>377</v>
      </c>
      <c r="T8" s="35" t="s">
        <v>352</v>
      </c>
      <c r="U8" s="35" t="s">
        <v>352</v>
      </c>
      <c r="V8" s="35" t="s">
        <v>382</v>
      </c>
      <c r="W8" s="35" t="s">
        <v>1027</v>
      </c>
      <c r="X8" s="35" t="s">
        <v>1027</v>
      </c>
      <c r="Y8" s="35" t="s">
        <v>1027</v>
      </c>
      <c r="Z8" s="35" t="s">
        <v>1027</v>
      </c>
      <c r="AA8" s="35" t="s">
        <v>1027</v>
      </c>
      <c r="AB8" s="35" t="s">
        <v>1027</v>
      </c>
      <c r="AC8" s="35" t="s">
        <v>1027</v>
      </c>
      <c r="AD8" s="35" t="s">
        <v>1027</v>
      </c>
      <c r="AF8" s="35" t="s">
        <v>380</v>
      </c>
    </row>
    <row r="9" spans="2:33" ht="28" customHeight="1" x14ac:dyDescent="0.2">
      <c r="B9" s="35" t="s">
        <v>100</v>
      </c>
      <c r="C9" s="35" t="s">
        <v>352</v>
      </c>
      <c r="D9" s="35" t="s">
        <v>352</v>
      </c>
      <c r="E9" s="35" t="s">
        <v>377</v>
      </c>
      <c r="G9" s="35" t="s">
        <v>352</v>
      </c>
      <c r="H9" s="35" t="s">
        <v>352</v>
      </c>
      <c r="I9" s="35" t="s">
        <v>352</v>
      </c>
      <c r="J9" s="35" t="s">
        <v>377</v>
      </c>
      <c r="L9" s="35" t="s">
        <v>352</v>
      </c>
      <c r="M9" s="35" t="s">
        <v>352</v>
      </c>
      <c r="N9" s="35" t="s">
        <v>352</v>
      </c>
      <c r="O9" s="35" t="s">
        <v>352</v>
      </c>
      <c r="P9" s="35" t="s">
        <v>352</v>
      </c>
      <c r="Q9" s="35" t="s">
        <v>352</v>
      </c>
      <c r="R9" s="35" t="s">
        <v>377</v>
      </c>
      <c r="T9" s="35" t="s">
        <v>352</v>
      </c>
      <c r="U9" s="35" t="s">
        <v>352</v>
      </c>
      <c r="V9" s="35" t="s">
        <v>382</v>
      </c>
      <c r="W9" s="35" t="s">
        <v>1027</v>
      </c>
      <c r="X9" s="35" t="s">
        <v>1027</v>
      </c>
      <c r="Y9" s="35" t="s">
        <v>1027</v>
      </c>
      <c r="Z9" s="35" t="s">
        <v>1027</v>
      </c>
      <c r="AA9" s="35" t="s">
        <v>1122</v>
      </c>
      <c r="AB9" s="35" t="s">
        <v>1027</v>
      </c>
      <c r="AC9" s="35" t="s">
        <v>1027</v>
      </c>
      <c r="AD9" s="35" t="s">
        <v>1027</v>
      </c>
      <c r="AE9" s="35" t="s">
        <v>1123</v>
      </c>
      <c r="AF9" s="35" t="s">
        <v>380</v>
      </c>
      <c r="AG9" s="35" t="s">
        <v>1124</v>
      </c>
    </row>
    <row r="10" spans="2:33" ht="28" customHeight="1" x14ac:dyDescent="0.2">
      <c r="B10" s="35" t="s">
        <v>112</v>
      </c>
      <c r="C10" s="35" t="s">
        <v>352</v>
      </c>
      <c r="D10" s="35" t="s">
        <v>352</v>
      </c>
      <c r="E10" s="35" t="s">
        <v>377</v>
      </c>
      <c r="G10" s="35" t="s">
        <v>352</v>
      </c>
      <c r="H10" s="35" t="s">
        <v>352</v>
      </c>
      <c r="I10" s="35" t="s">
        <v>352</v>
      </c>
      <c r="J10" s="35" t="s">
        <v>377</v>
      </c>
      <c r="L10" s="35" t="s">
        <v>352</v>
      </c>
      <c r="M10" s="35" t="s">
        <v>352</v>
      </c>
      <c r="N10" s="35" t="s">
        <v>352</v>
      </c>
      <c r="O10" s="35" t="s">
        <v>352</v>
      </c>
      <c r="P10" s="35" t="s">
        <v>352</v>
      </c>
      <c r="Q10" s="35" t="s">
        <v>352</v>
      </c>
      <c r="R10" s="35" t="s">
        <v>377</v>
      </c>
      <c r="T10" s="35" t="s">
        <v>352</v>
      </c>
      <c r="U10" s="35" t="s">
        <v>352</v>
      </c>
      <c r="V10" s="35" t="s">
        <v>382</v>
      </c>
      <c r="W10" s="35" t="s">
        <v>1027</v>
      </c>
      <c r="X10" s="35" t="s">
        <v>1027</v>
      </c>
      <c r="Y10" s="35" t="s">
        <v>1027</v>
      </c>
      <c r="Z10" s="35" t="s">
        <v>1027</v>
      </c>
      <c r="AA10" s="35" t="s">
        <v>1027</v>
      </c>
      <c r="AB10" s="35" t="s">
        <v>1027</v>
      </c>
      <c r="AC10" s="35" t="s">
        <v>1027</v>
      </c>
      <c r="AD10" s="35" t="s">
        <v>1027</v>
      </c>
      <c r="AE10" s="35" t="s">
        <v>1134</v>
      </c>
      <c r="AF10" s="35" t="s">
        <v>380</v>
      </c>
    </row>
    <row r="11" spans="2:33" ht="28" customHeight="1" x14ac:dyDescent="0.2">
      <c r="B11" s="35" t="s">
        <v>121</v>
      </c>
      <c r="C11" s="35" t="s">
        <v>352</v>
      </c>
      <c r="D11" s="35" t="s">
        <v>352</v>
      </c>
      <c r="E11" s="35" t="s">
        <v>377</v>
      </c>
      <c r="G11" s="35" t="s">
        <v>383</v>
      </c>
      <c r="H11" s="35" t="s">
        <v>352</v>
      </c>
      <c r="I11" s="35" t="s">
        <v>352</v>
      </c>
      <c r="J11" s="35" t="s">
        <v>377</v>
      </c>
      <c r="L11" s="35" t="s">
        <v>352</v>
      </c>
      <c r="M11" s="35" t="s">
        <v>383</v>
      </c>
      <c r="N11" s="35" t="s">
        <v>352</v>
      </c>
      <c r="O11" s="35" t="s">
        <v>383</v>
      </c>
      <c r="P11" s="35" t="s">
        <v>352</v>
      </c>
      <c r="Q11" s="35" t="s">
        <v>352</v>
      </c>
      <c r="R11" s="35" t="s">
        <v>377</v>
      </c>
      <c r="T11" s="35" t="s">
        <v>352</v>
      </c>
      <c r="U11" s="35" t="s">
        <v>352</v>
      </c>
      <c r="V11" s="35" t="s">
        <v>382</v>
      </c>
      <c r="W11" s="35" t="s">
        <v>1027</v>
      </c>
      <c r="X11" s="35" t="s">
        <v>1027</v>
      </c>
      <c r="Y11" s="35" t="s">
        <v>1027</v>
      </c>
      <c r="Z11" s="35" t="s">
        <v>1027</v>
      </c>
      <c r="AA11" s="35" t="s">
        <v>1027</v>
      </c>
      <c r="AB11" s="35" t="s">
        <v>1093</v>
      </c>
      <c r="AC11" s="35" t="s">
        <v>1093</v>
      </c>
      <c r="AD11" s="35" t="s">
        <v>1093</v>
      </c>
      <c r="AE11" s="35" t="s">
        <v>1090</v>
      </c>
      <c r="AF11" s="35" t="s">
        <v>380</v>
      </c>
      <c r="AG11" s="35" t="s">
        <v>1276</v>
      </c>
    </row>
    <row r="12" spans="2:33" ht="28" customHeight="1" x14ac:dyDescent="0.2">
      <c r="B12" s="35" t="s">
        <v>126</v>
      </c>
      <c r="C12" s="35" t="s">
        <v>352</v>
      </c>
      <c r="D12" s="35" t="s">
        <v>352</v>
      </c>
      <c r="E12" s="35" t="s">
        <v>377</v>
      </c>
      <c r="G12" s="35" t="s">
        <v>383</v>
      </c>
      <c r="H12" s="35" t="s">
        <v>352</v>
      </c>
      <c r="I12" s="35" t="s">
        <v>352</v>
      </c>
      <c r="J12" s="35" t="s">
        <v>377</v>
      </c>
      <c r="L12" s="35" t="s">
        <v>352</v>
      </c>
      <c r="M12" s="35" t="s">
        <v>352</v>
      </c>
      <c r="N12" s="35" t="s">
        <v>352</v>
      </c>
      <c r="O12" s="35" t="s">
        <v>352</v>
      </c>
      <c r="P12" s="35" t="s">
        <v>352</v>
      </c>
      <c r="Q12" s="35" t="s">
        <v>352</v>
      </c>
      <c r="R12" s="35" t="s">
        <v>377</v>
      </c>
      <c r="T12" s="35" t="s">
        <v>352</v>
      </c>
      <c r="U12" s="35" t="s">
        <v>382</v>
      </c>
      <c r="V12" s="35" t="s">
        <v>352</v>
      </c>
      <c r="W12" s="35" t="s">
        <v>1146</v>
      </c>
      <c r="X12" s="35" t="s">
        <v>1027</v>
      </c>
      <c r="Y12" s="35" t="s">
        <v>1027</v>
      </c>
      <c r="Z12" s="35" t="s">
        <v>1027</v>
      </c>
      <c r="AA12" s="35" t="s">
        <v>1027</v>
      </c>
      <c r="AB12" s="35" t="s">
        <v>1146</v>
      </c>
      <c r="AC12" s="35" t="s">
        <v>1027</v>
      </c>
      <c r="AD12" s="35" t="s">
        <v>1027</v>
      </c>
      <c r="AE12" s="35" t="s">
        <v>1147</v>
      </c>
      <c r="AF12" s="35" t="s">
        <v>1148</v>
      </c>
      <c r="AG12" s="35" t="s">
        <v>1149</v>
      </c>
    </row>
    <row r="13" spans="2:33" ht="28" customHeight="1" x14ac:dyDescent="0.2">
      <c r="B13" s="35" t="s">
        <v>142</v>
      </c>
      <c r="C13" s="35" t="s">
        <v>352</v>
      </c>
      <c r="D13" s="35" t="s">
        <v>352</v>
      </c>
      <c r="E13" s="35" t="s">
        <v>377</v>
      </c>
      <c r="G13" s="35" t="s">
        <v>352</v>
      </c>
      <c r="H13" s="35" t="s">
        <v>352</v>
      </c>
      <c r="I13" s="35" t="s">
        <v>352</v>
      </c>
      <c r="J13" s="35" t="s">
        <v>377</v>
      </c>
      <c r="L13" s="35" t="s">
        <v>352</v>
      </c>
      <c r="M13" s="35" t="s">
        <v>352</v>
      </c>
      <c r="N13" s="35" t="s">
        <v>352</v>
      </c>
      <c r="O13" s="35" t="s">
        <v>352</v>
      </c>
      <c r="P13" s="35" t="s">
        <v>352</v>
      </c>
      <c r="Q13" s="35" t="s">
        <v>352</v>
      </c>
      <c r="R13" s="35" t="s">
        <v>377</v>
      </c>
      <c r="T13" s="35" t="s">
        <v>352</v>
      </c>
      <c r="U13" s="35" t="s">
        <v>352</v>
      </c>
      <c r="V13" s="35" t="s">
        <v>352</v>
      </c>
      <c r="W13" s="35" t="s">
        <v>1027</v>
      </c>
      <c r="X13" s="35" t="s">
        <v>1027</v>
      </c>
      <c r="Y13" s="35" t="s">
        <v>1122</v>
      </c>
      <c r="Z13" s="35" t="s">
        <v>1027</v>
      </c>
      <c r="AA13" s="35" t="s">
        <v>1027</v>
      </c>
      <c r="AB13" s="35" t="s">
        <v>1027</v>
      </c>
      <c r="AC13" s="35" t="s">
        <v>1027</v>
      </c>
      <c r="AD13" s="35" t="s">
        <v>1122</v>
      </c>
      <c r="AE13" s="35" t="s">
        <v>1154</v>
      </c>
      <c r="AF13" s="35" t="s">
        <v>380</v>
      </c>
    </row>
    <row r="14" spans="2:33" ht="28" customHeight="1" x14ac:dyDescent="0.2">
      <c r="B14" s="35" t="s">
        <v>165</v>
      </c>
      <c r="C14" s="35" t="s">
        <v>352</v>
      </c>
      <c r="D14" s="35" t="s">
        <v>352</v>
      </c>
      <c r="E14" s="35" t="s">
        <v>377</v>
      </c>
      <c r="G14" s="35" t="s">
        <v>352</v>
      </c>
      <c r="H14" s="35" t="s">
        <v>352</v>
      </c>
      <c r="I14" s="35" t="s">
        <v>352</v>
      </c>
      <c r="J14" s="35" t="s">
        <v>377</v>
      </c>
      <c r="L14" s="35" t="s">
        <v>352</v>
      </c>
      <c r="M14" s="35" t="s">
        <v>383</v>
      </c>
      <c r="N14" s="35" t="s">
        <v>352</v>
      </c>
      <c r="O14" s="35" t="s">
        <v>383</v>
      </c>
      <c r="P14" s="35" t="s">
        <v>352</v>
      </c>
      <c r="Q14" s="35" t="s">
        <v>352</v>
      </c>
      <c r="R14" s="35" t="s">
        <v>377</v>
      </c>
      <c r="T14" s="35" t="s">
        <v>352</v>
      </c>
      <c r="U14" s="35" t="s">
        <v>352</v>
      </c>
      <c r="V14" s="35" t="s">
        <v>382</v>
      </c>
      <c r="W14" s="35" t="s">
        <v>1027</v>
      </c>
      <c r="X14" s="35" t="s">
        <v>1122</v>
      </c>
      <c r="Y14" s="35" t="s">
        <v>1146</v>
      </c>
      <c r="Z14" s="35" t="s">
        <v>1122</v>
      </c>
      <c r="AA14" s="35" t="s">
        <v>1027</v>
      </c>
      <c r="AB14" s="35" t="s">
        <v>1146</v>
      </c>
      <c r="AC14" s="35" t="s">
        <v>935</v>
      </c>
      <c r="AD14" s="35" t="s">
        <v>935</v>
      </c>
      <c r="AE14" s="35" t="s">
        <v>1167</v>
      </c>
      <c r="AF14" s="35" t="s">
        <v>1141</v>
      </c>
      <c r="AG14" s="35" t="s">
        <v>1168</v>
      </c>
    </row>
    <row r="15" spans="2:33" ht="28" customHeight="1" x14ac:dyDescent="0.2">
      <c r="B15" s="35" t="s">
        <v>169</v>
      </c>
      <c r="C15" s="35" t="s">
        <v>352</v>
      </c>
      <c r="D15" s="35" t="s">
        <v>352</v>
      </c>
      <c r="E15" s="35" t="s">
        <v>377</v>
      </c>
      <c r="G15" s="35" t="s">
        <v>352</v>
      </c>
      <c r="H15" s="35" t="s">
        <v>352</v>
      </c>
      <c r="I15" s="35" t="s">
        <v>352</v>
      </c>
      <c r="J15" s="35" t="s">
        <v>377</v>
      </c>
      <c r="L15" s="35" t="s">
        <v>352</v>
      </c>
      <c r="M15" s="35" t="s">
        <v>352</v>
      </c>
      <c r="N15" s="35" t="s">
        <v>352</v>
      </c>
      <c r="O15" s="35" t="s">
        <v>352</v>
      </c>
      <c r="P15" s="35" t="s">
        <v>352</v>
      </c>
      <c r="Q15" s="35" t="s">
        <v>352</v>
      </c>
      <c r="R15" s="35" t="s">
        <v>377</v>
      </c>
      <c r="T15" s="35" t="s">
        <v>352</v>
      </c>
      <c r="U15" s="35" t="s">
        <v>352</v>
      </c>
      <c r="V15" s="35" t="s">
        <v>382</v>
      </c>
      <c r="W15" s="35" t="s">
        <v>1027</v>
      </c>
      <c r="X15" s="35" t="s">
        <v>1027</v>
      </c>
      <c r="Y15" s="35" t="s">
        <v>1122</v>
      </c>
      <c r="Z15" s="35" t="s">
        <v>1122</v>
      </c>
      <c r="AA15" s="35" t="s">
        <v>1027</v>
      </c>
      <c r="AB15" s="35" t="s">
        <v>1146</v>
      </c>
      <c r="AC15" s="35" t="s">
        <v>935</v>
      </c>
      <c r="AD15" s="35" t="s">
        <v>935</v>
      </c>
      <c r="AE15" s="35" t="s">
        <v>1174</v>
      </c>
      <c r="AF15" s="35" t="s">
        <v>380</v>
      </c>
      <c r="AG15" s="35" t="s">
        <v>1175</v>
      </c>
    </row>
    <row r="16" spans="2:33" ht="28" customHeight="1" x14ac:dyDescent="0.2">
      <c r="B16" s="35" t="s">
        <v>186</v>
      </c>
      <c r="C16" s="35" t="s">
        <v>352</v>
      </c>
      <c r="D16" s="35" t="s">
        <v>352</v>
      </c>
      <c r="E16" s="35" t="s">
        <v>377</v>
      </c>
      <c r="G16" s="35" t="s">
        <v>352</v>
      </c>
      <c r="H16" s="35" t="s">
        <v>352</v>
      </c>
      <c r="I16" s="35" t="s">
        <v>352</v>
      </c>
      <c r="J16" s="35" t="s">
        <v>377</v>
      </c>
      <c r="L16" s="35" t="s">
        <v>352</v>
      </c>
      <c r="M16" s="35" t="s">
        <v>352</v>
      </c>
      <c r="N16" s="35" t="s">
        <v>352</v>
      </c>
      <c r="O16" s="35" t="s">
        <v>352</v>
      </c>
      <c r="P16" s="35" t="s">
        <v>352</v>
      </c>
      <c r="Q16" s="35" t="s">
        <v>352</v>
      </c>
      <c r="R16" s="35" t="s">
        <v>377</v>
      </c>
      <c r="T16" s="35" t="s">
        <v>352</v>
      </c>
      <c r="U16" s="35" t="s">
        <v>352</v>
      </c>
      <c r="V16" s="35" t="s">
        <v>382</v>
      </c>
      <c r="W16" s="35" t="s">
        <v>1122</v>
      </c>
      <c r="X16" s="35" t="s">
        <v>1122</v>
      </c>
      <c r="Y16" s="35" t="s">
        <v>1122</v>
      </c>
      <c r="Z16" s="35" t="s">
        <v>1146</v>
      </c>
      <c r="AA16" s="35" t="s">
        <v>1027</v>
      </c>
      <c r="AB16" s="35" t="s">
        <v>1027</v>
      </c>
      <c r="AC16" s="35" t="s">
        <v>1027</v>
      </c>
      <c r="AD16" s="35" t="s">
        <v>1027</v>
      </c>
      <c r="AE16" s="35" t="s">
        <v>1184</v>
      </c>
      <c r="AF16" s="35" t="s">
        <v>380</v>
      </c>
      <c r="AG16" s="35" t="s">
        <v>1185</v>
      </c>
    </row>
    <row r="17" spans="2:33" ht="28" customHeight="1" x14ac:dyDescent="0.2">
      <c r="B17" s="35" t="s">
        <v>202</v>
      </c>
      <c r="C17" s="35" t="s">
        <v>352</v>
      </c>
      <c r="D17" s="35" t="s">
        <v>352</v>
      </c>
      <c r="E17" s="35" t="s">
        <v>377</v>
      </c>
      <c r="G17" s="35" t="s">
        <v>352</v>
      </c>
      <c r="H17" s="35" t="s">
        <v>352</v>
      </c>
      <c r="I17" s="35" t="s">
        <v>352</v>
      </c>
      <c r="J17" s="35" t="s">
        <v>377</v>
      </c>
      <c r="L17" s="35" t="s">
        <v>352</v>
      </c>
      <c r="M17" s="35" t="s">
        <v>352</v>
      </c>
      <c r="N17" s="35" t="s">
        <v>352</v>
      </c>
      <c r="O17" s="35" t="s">
        <v>352</v>
      </c>
      <c r="P17" s="35" t="s">
        <v>352</v>
      </c>
      <c r="Q17" s="35" t="s">
        <v>352</v>
      </c>
      <c r="R17" s="35" t="s">
        <v>377</v>
      </c>
      <c r="T17" s="35" t="s">
        <v>352</v>
      </c>
      <c r="U17" s="35" t="s">
        <v>382</v>
      </c>
      <c r="V17" s="35" t="s">
        <v>382</v>
      </c>
      <c r="W17" s="35" t="s">
        <v>1093</v>
      </c>
      <c r="X17" s="35" t="s">
        <v>1027</v>
      </c>
      <c r="Y17" s="35" t="s">
        <v>1027</v>
      </c>
      <c r="Z17" s="35" t="s">
        <v>1027</v>
      </c>
      <c r="AA17" s="35" t="s">
        <v>1027</v>
      </c>
      <c r="AB17" s="35" t="s">
        <v>1027</v>
      </c>
      <c r="AC17" s="35" t="s">
        <v>1027</v>
      </c>
      <c r="AD17" s="35" t="s">
        <v>1027</v>
      </c>
      <c r="AE17" s="35" t="s">
        <v>1193</v>
      </c>
      <c r="AF17" s="35" t="s">
        <v>380</v>
      </c>
    </row>
    <row r="18" spans="2:33" ht="28" customHeight="1" x14ac:dyDescent="0.2">
      <c r="B18" s="35" t="s">
        <v>222</v>
      </c>
      <c r="C18" s="35" t="s">
        <v>352</v>
      </c>
      <c r="D18" s="35" t="s">
        <v>352</v>
      </c>
      <c r="E18" s="35" t="s">
        <v>377</v>
      </c>
      <c r="G18" s="35" t="s">
        <v>383</v>
      </c>
      <c r="H18" s="35" t="s">
        <v>352</v>
      </c>
      <c r="I18" s="35" t="s">
        <v>352</v>
      </c>
      <c r="J18" s="35" t="s">
        <v>377</v>
      </c>
      <c r="L18" s="35" t="s">
        <v>385</v>
      </c>
      <c r="M18" s="35" t="s">
        <v>383</v>
      </c>
      <c r="N18" s="35" t="s">
        <v>352</v>
      </c>
      <c r="O18" s="35" t="s">
        <v>385</v>
      </c>
      <c r="P18" s="35" t="s">
        <v>352</v>
      </c>
      <c r="Q18" s="35" t="s">
        <v>383</v>
      </c>
      <c r="R18" s="35" t="s">
        <v>379</v>
      </c>
      <c r="T18" s="35" t="s">
        <v>1199</v>
      </c>
      <c r="U18" s="35" t="s">
        <v>1199</v>
      </c>
      <c r="V18" s="35" t="s">
        <v>1199</v>
      </c>
      <c r="W18" s="35" t="s">
        <v>1199</v>
      </c>
      <c r="X18" s="35" t="s">
        <v>1122</v>
      </c>
      <c r="Y18" s="35" t="s">
        <v>1027</v>
      </c>
      <c r="Z18" s="35" t="s">
        <v>1146</v>
      </c>
      <c r="AA18" s="35" t="s">
        <v>1027</v>
      </c>
      <c r="AB18" s="35" t="s">
        <v>1093</v>
      </c>
      <c r="AC18" s="35" t="s">
        <v>1093</v>
      </c>
      <c r="AD18" s="35" t="s">
        <v>1093</v>
      </c>
      <c r="AE18" s="35" t="s">
        <v>1200</v>
      </c>
      <c r="AF18" s="35" t="s">
        <v>1141</v>
      </c>
      <c r="AG18" s="35" t="s">
        <v>1201</v>
      </c>
    </row>
    <row r="19" spans="2:33" ht="28" customHeight="1" x14ac:dyDescent="0.2">
      <c r="B19" s="35" t="s">
        <v>321</v>
      </c>
      <c r="C19" s="35" t="s">
        <v>352</v>
      </c>
      <c r="D19" s="35" t="s">
        <v>352</v>
      </c>
      <c r="E19" s="35" t="s">
        <v>377</v>
      </c>
      <c r="G19" s="35" t="s">
        <v>383</v>
      </c>
      <c r="H19" s="35" t="s">
        <v>352</v>
      </c>
      <c r="I19" s="35" t="s">
        <v>352</v>
      </c>
      <c r="J19" s="35" t="s">
        <v>377</v>
      </c>
      <c r="L19" s="35" t="s">
        <v>385</v>
      </c>
      <c r="M19" s="35" t="s">
        <v>383</v>
      </c>
      <c r="N19" s="35" t="s">
        <v>352</v>
      </c>
      <c r="O19" s="35" t="s">
        <v>385</v>
      </c>
      <c r="P19" s="35" t="s">
        <v>352</v>
      </c>
      <c r="Q19" s="35" t="s">
        <v>383</v>
      </c>
      <c r="R19" s="35" t="s">
        <v>379</v>
      </c>
      <c r="T19" s="35" t="s">
        <v>352</v>
      </c>
      <c r="U19" s="35" t="s">
        <v>352</v>
      </c>
      <c r="V19" s="35" t="s">
        <v>382</v>
      </c>
      <c r="W19" s="35" t="s">
        <v>1146</v>
      </c>
      <c r="X19" s="35" t="s">
        <v>1146</v>
      </c>
      <c r="Y19" s="35" t="s">
        <v>1122</v>
      </c>
      <c r="Z19" s="35" t="s">
        <v>1122</v>
      </c>
      <c r="AA19" s="35" t="s">
        <v>1027</v>
      </c>
      <c r="AB19" s="35" t="s">
        <v>1093</v>
      </c>
      <c r="AC19" s="35" t="s">
        <v>1093</v>
      </c>
      <c r="AD19" s="35" t="s">
        <v>1093</v>
      </c>
      <c r="AE19" s="35" t="s">
        <v>1203</v>
      </c>
      <c r="AF19" s="35" t="s">
        <v>1148</v>
      </c>
      <c r="AG19" s="35" t="s">
        <v>1204</v>
      </c>
    </row>
    <row r="20" spans="2:33" ht="28" customHeight="1" x14ac:dyDescent="0.2">
      <c r="B20" s="35" t="s">
        <v>228</v>
      </c>
      <c r="C20" s="35" t="s">
        <v>352</v>
      </c>
      <c r="D20" s="35" t="s">
        <v>352</v>
      </c>
      <c r="E20" s="35" t="s">
        <v>377</v>
      </c>
      <c r="G20" s="35" t="s">
        <v>352</v>
      </c>
      <c r="H20" s="35" t="s">
        <v>352</v>
      </c>
      <c r="I20" s="35" t="s">
        <v>352</v>
      </c>
      <c r="J20" s="35" t="s">
        <v>377</v>
      </c>
      <c r="L20" s="35" t="s">
        <v>352</v>
      </c>
      <c r="M20" s="35" t="s">
        <v>352</v>
      </c>
      <c r="N20" s="35" t="s">
        <v>352</v>
      </c>
      <c r="O20" s="35" t="s">
        <v>352</v>
      </c>
      <c r="P20" s="35" t="s">
        <v>352</v>
      </c>
      <c r="Q20" s="35" t="s">
        <v>352</v>
      </c>
      <c r="R20" s="35" t="s">
        <v>377</v>
      </c>
      <c r="T20" s="35" t="s">
        <v>352</v>
      </c>
      <c r="U20" s="35" t="s">
        <v>382</v>
      </c>
      <c r="V20" s="35" t="s">
        <v>382</v>
      </c>
      <c r="W20" s="35" t="s">
        <v>1199</v>
      </c>
      <c r="X20" s="35" t="s">
        <v>1122</v>
      </c>
      <c r="Y20" s="35" t="s">
        <v>1122</v>
      </c>
      <c r="Z20" s="35" t="s">
        <v>1027</v>
      </c>
      <c r="AA20" s="35" t="s">
        <v>1027</v>
      </c>
      <c r="AB20" s="35" t="s">
        <v>1027</v>
      </c>
      <c r="AC20" s="35" t="s">
        <v>1027</v>
      </c>
      <c r="AD20" s="35" t="s">
        <v>1122</v>
      </c>
      <c r="AE20" s="35" t="s">
        <v>1216</v>
      </c>
      <c r="AF20" s="35" t="s">
        <v>1141</v>
      </c>
    </row>
    <row r="21" spans="2:33" ht="28" customHeight="1" x14ac:dyDescent="0.2">
      <c r="B21" s="35" t="s">
        <v>253</v>
      </c>
      <c r="C21" s="35" t="s">
        <v>352</v>
      </c>
      <c r="D21" s="35" t="s">
        <v>352</v>
      </c>
      <c r="E21" s="35" t="s">
        <v>377</v>
      </c>
      <c r="G21" s="35" t="s">
        <v>352</v>
      </c>
      <c r="H21" s="35" t="s">
        <v>352</v>
      </c>
      <c r="I21" s="35" t="s">
        <v>352</v>
      </c>
      <c r="J21" s="35" t="s">
        <v>377</v>
      </c>
      <c r="L21" s="35" t="s">
        <v>385</v>
      </c>
      <c r="M21" s="35" t="s">
        <v>385</v>
      </c>
      <c r="N21" s="35" t="s">
        <v>352</v>
      </c>
      <c r="O21" s="35" t="s">
        <v>385</v>
      </c>
      <c r="P21" s="35" t="s">
        <v>352</v>
      </c>
      <c r="Q21" s="35" t="s">
        <v>383</v>
      </c>
      <c r="R21" s="35" t="s">
        <v>379</v>
      </c>
      <c r="T21" s="35" t="s">
        <v>352</v>
      </c>
      <c r="U21" s="35" t="s">
        <v>382</v>
      </c>
      <c r="V21" s="35" t="s">
        <v>382</v>
      </c>
      <c r="W21" s="35" t="s">
        <v>1199</v>
      </c>
      <c r="X21" s="35" t="s">
        <v>1122</v>
      </c>
      <c r="Y21" s="35" t="s">
        <v>1027</v>
      </c>
      <c r="Z21" s="35" t="s">
        <v>1027</v>
      </c>
      <c r="AA21" s="35" t="s">
        <v>1027</v>
      </c>
      <c r="AB21" s="35" t="s">
        <v>1027</v>
      </c>
      <c r="AC21" s="35" t="s">
        <v>1027</v>
      </c>
      <c r="AD21" s="35" t="s">
        <v>1027</v>
      </c>
      <c r="AE21" s="35" t="s">
        <v>1225</v>
      </c>
      <c r="AF21" s="35" t="s">
        <v>1148</v>
      </c>
      <c r="AG21" s="35" t="s">
        <v>1226</v>
      </c>
    </row>
    <row r="22" spans="2:33" ht="28" customHeight="1" x14ac:dyDescent="0.2">
      <c r="B22" s="35" t="s">
        <v>290</v>
      </c>
      <c r="C22" s="35" t="s">
        <v>352</v>
      </c>
      <c r="D22" s="35" t="s">
        <v>352</v>
      </c>
      <c r="E22" s="35" t="s">
        <v>377</v>
      </c>
      <c r="G22" s="35" t="s">
        <v>352</v>
      </c>
      <c r="H22" s="35" t="s">
        <v>352</v>
      </c>
      <c r="I22" s="35" t="s">
        <v>352</v>
      </c>
      <c r="J22" s="35" t="s">
        <v>377</v>
      </c>
      <c r="L22" s="35" t="s">
        <v>385</v>
      </c>
      <c r="M22" s="35" t="s">
        <v>383</v>
      </c>
      <c r="N22" s="35" t="s">
        <v>352</v>
      </c>
      <c r="O22" s="35" t="s">
        <v>385</v>
      </c>
      <c r="P22" s="35" t="s">
        <v>352</v>
      </c>
      <c r="Q22" s="35" t="s">
        <v>352</v>
      </c>
      <c r="R22" s="35" t="s">
        <v>379</v>
      </c>
      <c r="T22" s="35" t="s">
        <v>352</v>
      </c>
      <c r="U22" s="35" t="s">
        <v>352</v>
      </c>
      <c r="V22" s="35" t="s">
        <v>382</v>
      </c>
      <c r="W22" s="35" t="s">
        <v>1122</v>
      </c>
      <c r="X22" s="35" t="s">
        <v>1027</v>
      </c>
      <c r="Y22" s="35" t="s">
        <v>1027</v>
      </c>
      <c r="Z22" s="35" t="s">
        <v>1027</v>
      </c>
      <c r="AA22" s="35" t="s">
        <v>1027</v>
      </c>
      <c r="AB22" s="35" t="s">
        <v>1027</v>
      </c>
      <c r="AC22" s="35" t="s">
        <v>1122</v>
      </c>
      <c r="AD22" s="35" t="s">
        <v>1027</v>
      </c>
      <c r="AE22" s="35" t="s">
        <v>1236</v>
      </c>
      <c r="AF22" s="35" t="s">
        <v>1141</v>
      </c>
      <c r="AG22" s="35" t="s">
        <v>1237</v>
      </c>
    </row>
    <row r="23" spans="2:33" ht="28" customHeight="1" x14ac:dyDescent="0.2">
      <c r="B23" s="35" t="s">
        <v>295</v>
      </c>
      <c r="C23" s="35" t="s">
        <v>352</v>
      </c>
      <c r="D23" s="35" t="s">
        <v>352</v>
      </c>
      <c r="E23" s="35" t="s">
        <v>377</v>
      </c>
      <c r="G23" s="35" t="s">
        <v>352</v>
      </c>
      <c r="H23" s="35" t="s">
        <v>352</v>
      </c>
      <c r="I23" s="35" t="s">
        <v>352</v>
      </c>
      <c r="J23" s="35" t="s">
        <v>377</v>
      </c>
      <c r="L23" s="35" t="s">
        <v>352</v>
      </c>
      <c r="M23" s="35" t="s">
        <v>352</v>
      </c>
      <c r="N23" s="35" t="s">
        <v>352</v>
      </c>
      <c r="O23" s="35" t="s">
        <v>352</v>
      </c>
      <c r="P23" s="35" t="s">
        <v>352</v>
      </c>
      <c r="Q23" s="35" t="s">
        <v>352</v>
      </c>
      <c r="R23" s="35" t="s">
        <v>377</v>
      </c>
      <c r="T23" s="35" t="s">
        <v>352</v>
      </c>
      <c r="U23" s="35" t="s">
        <v>382</v>
      </c>
      <c r="V23" s="35" t="s">
        <v>382</v>
      </c>
      <c r="W23" s="35" t="s">
        <v>1199</v>
      </c>
      <c r="X23" s="35" t="s">
        <v>1122</v>
      </c>
      <c r="Y23" s="35" t="s">
        <v>1027</v>
      </c>
      <c r="Z23" s="35" t="s">
        <v>1027</v>
      </c>
      <c r="AA23" s="35" t="s">
        <v>1027</v>
      </c>
      <c r="AB23" s="35" t="s">
        <v>1027</v>
      </c>
      <c r="AC23" s="35" t="s">
        <v>1122</v>
      </c>
      <c r="AD23" s="35" t="s">
        <v>1027</v>
      </c>
      <c r="AE23" s="35" t="s">
        <v>1246</v>
      </c>
      <c r="AF23" s="35" t="s">
        <v>380</v>
      </c>
    </row>
    <row r="24" spans="2:33" ht="28" customHeight="1" x14ac:dyDescent="0.2">
      <c r="B24" s="35" t="s">
        <v>309</v>
      </c>
      <c r="C24" s="35" t="s">
        <v>352</v>
      </c>
      <c r="D24" s="35" t="s">
        <v>352</v>
      </c>
      <c r="E24" s="35" t="s">
        <v>377</v>
      </c>
      <c r="G24" s="35" t="s">
        <v>352</v>
      </c>
      <c r="H24" s="35" t="s">
        <v>352</v>
      </c>
      <c r="I24" s="35" t="s">
        <v>352</v>
      </c>
      <c r="J24" s="35" t="s">
        <v>377</v>
      </c>
      <c r="L24" s="35" t="s">
        <v>352</v>
      </c>
      <c r="M24" s="35" t="s">
        <v>352</v>
      </c>
      <c r="N24" s="35" t="s">
        <v>352</v>
      </c>
      <c r="O24" s="35" t="s">
        <v>352</v>
      </c>
      <c r="P24" s="35" t="s">
        <v>352</v>
      </c>
      <c r="Q24" s="35" t="s">
        <v>352</v>
      </c>
      <c r="R24" s="35" t="s">
        <v>377</v>
      </c>
      <c r="T24" s="35" t="s">
        <v>352</v>
      </c>
      <c r="U24" s="35" t="s">
        <v>382</v>
      </c>
      <c r="V24" s="35" t="s">
        <v>382</v>
      </c>
      <c r="W24" s="35" t="s">
        <v>1199</v>
      </c>
      <c r="X24" s="35" t="s">
        <v>1027</v>
      </c>
      <c r="Y24" s="35" t="s">
        <v>1146</v>
      </c>
      <c r="Z24" s="35" t="s">
        <v>1122</v>
      </c>
      <c r="AA24" s="35" t="s">
        <v>1027</v>
      </c>
      <c r="AB24" s="35" t="s">
        <v>1122</v>
      </c>
      <c r="AC24" s="35" t="s">
        <v>1027</v>
      </c>
      <c r="AD24" s="35" t="s">
        <v>935</v>
      </c>
      <c r="AE24" s="35" t="s">
        <v>1249</v>
      </c>
      <c r="AF24" s="35" t="s">
        <v>1141</v>
      </c>
      <c r="AG24" s="35" t="s">
        <v>1250</v>
      </c>
    </row>
    <row r="25" spans="2:33" ht="28" customHeight="1" x14ac:dyDescent="0.2">
      <c r="B25" s="35" t="s">
        <v>322</v>
      </c>
      <c r="C25" s="35" t="s">
        <v>352</v>
      </c>
      <c r="D25" s="35" t="s">
        <v>352</v>
      </c>
      <c r="E25" s="35" t="s">
        <v>377</v>
      </c>
      <c r="G25" s="35" t="s">
        <v>352</v>
      </c>
      <c r="H25" s="35" t="s">
        <v>352</v>
      </c>
      <c r="I25" s="35" t="s">
        <v>352</v>
      </c>
      <c r="J25" s="35" t="s">
        <v>377</v>
      </c>
      <c r="L25" s="35" t="s">
        <v>352</v>
      </c>
      <c r="M25" s="35" t="s">
        <v>352</v>
      </c>
      <c r="N25" s="35" t="s">
        <v>352</v>
      </c>
      <c r="O25" s="35" t="s">
        <v>352</v>
      </c>
      <c r="P25" s="35" t="s">
        <v>352</v>
      </c>
      <c r="Q25" s="35" t="s">
        <v>352</v>
      </c>
      <c r="R25" s="35" t="s">
        <v>377</v>
      </c>
      <c r="T25" s="35" t="s">
        <v>352</v>
      </c>
      <c r="U25" s="35" t="s">
        <v>382</v>
      </c>
      <c r="V25" s="35" t="s">
        <v>382</v>
      </c>
      <c r="W25" s="35" t="s">
        <v>1199</v>
      </c>
      <c r="X25" s="35" t="s">
        <v>1122</v>
      </c>
      <c r="Y25" s="35" t="s">
        <v>1122</v>
      </c>
      <c r="Z25" s="35" t="s">
        <v>1122</v>
      </c>
      <c r="AA25" s="35" t="s">
        <v>1027</v>
      </c>
      <c r="AB25" s="35" t="s">
        <v>1093</v>
      </c>
      <c r="AC25" s="35" t="s">
        <v>1093</v>
      </c>
      <c r="AD25" s="35" t="s">
        <v>1093</v>
      </c>
      <c r="AE25" s="35" t="s">
        <v>1259</v>
      </c>
      <c r="AF25" s="35" t="s">
        <v>1141</v>
      </c>
      <c r="AG25" s="35" t="s">
        <v>1260</v>
      </c>
    </row>
    <row r="26" spans="2:33" ht="28" customHeight="1" x14ac:dyDescent="0.2">
      <c r="B26" s="35" t="s">
        <v>330</v>
      </c>
      <c r="C26" s="35" t="s">
        <v>352</v>
      </c>
      <c r="D26" s="35" t="s">
        <v>352</v>
      </c>
      <c r="E26" s="35" t="s">
        <v>377</v>
      </c>
      <c r="G26" s="35" t="s">
        <v>352</v>
      </c>
      <c r="H26" s="35" t="s">
        <v>352</v>
      </c>
      <c r="I26" s="35" t="s">
        <v>352</v>
      </c>
      <c r="J26" s="35" t="s">
        <v>377</v>
      </c>
      <c r="L26" s="35" t="s">
        <v>352</v>
      </c>
      <c r="M26" s="35" t="s">
        <v>352</v>
      </c>
      <c r="N26" s="35" t="s">
        <v>352</v>
      </c>
      <c r="O26" s="35" t="s">
        <v>352</v>
      </c>
      <c r="P26" s="35" t="s">
        <v>352</v>
      </c>
      <c r="Q26" s="35" t="s">
        <v>352</v>
      </c>
      <c r="R26" s="35" t="s">
        <v>377</v>
      </c>
      <c r="T26" s="35" t="s">
        <v>352</v>
      </c>
      <c r="U26" s="35" t="s">
        <v>352</v>
      </c>
      <c r="V26" s="35" t="s">
        <v>352</v>
      </c>
      <c r="W26" s="35" t="s">
        <v>1027</v>
      </c>
      <c r="X26" s="35" t="s">
        <v>1027</v>
      </c>
      <c r="Y26" s="35" t="s">
        <v>1027</v>
      </c>
      <c r="Z26" s="35" t="s">
        <v>1027</v>
      </c>
      <c r="AA26" s="35" t="s">
        <v>1027</v>
      </c>
      <c r="AB26" s="35" t="s">
        <v>1122</v>
      </c>
      <c r="AC26" s="35" t="s">
        <v>1027</v>
      </c>
      <c r="AD26" s="35" t="s">
        <v>1027</v>
      </c>
      <c r="AE26" s="35" t="s">
        <v>1268</v>
      </c>
      <c r="AF26" s="35" t="s">
        <v>380</v>
      </c>
    </row>
    <row r="30" spans="2:33" ht="28" customHeight="1" x14ac:dyDescent="0.2">
      <c r="B30" s="35" t="s">
        <v>376</v>
      </c>
      <c r="C30" s="35" t="s">
        <v>381</v>
      </c>
    </row>
    <row r="31" spans="2:33" ht="28" customHeight="1" x14ac:dyDescent="0.2">
      <c r="B31" s="35" t="s">
        <v>377</v>
      </c>
      <c r="C31" s="35" t="s">
        <v>352</v>
      </c>
    </row>
    <row r="32" spans="2:33" ht="28" customHeight="1" x14ac:dyDescent="0.2">
      <c r="B32" s="35" t="s">
        <v>378</v>
      </c>
      <c r="C32" s="35" t="s">
        <v>382</v>
      </c>
    </row>
    <row r="33" spans="2:3" ht="28" customHeight="1" x14ac:dyDescent="0.2">
      <c r="B33" s="35" t="s">
        <v>379</v>
      </c>
      <c r="C33" s="35" t="s">
        <v>383</v>
      </c>
    </row>
    <row r="34" spans="2:3" ht="28" customHeight="1" x14ac:dyDescent="0.2">
      <c r="C34" s="35" t="s">
        <v>384</v>
      </c>
    </row>
    <row r="35" spans="2:3" ht="28" customHeight="1" x14ac:dyDescent="0.2">
      <c r="C35" s="35" t="s">
        <v>385</v>
      </c>
    </row>
  </sheetData>
  <phoneticPr fontId="7" type="noConversion"/>
  <dataValidations count="3">
    <dataValidation type="list" allowBlank="1" showInputMessage="1" showErrorMessage="1" sqref="B7:B26" xr:uid="{A002ACD7-57DD-40E0-8974-CD9A1E38994B}">
      <formula1>STUDYID</formula1>
    </dataValidation>
    <dataValidation type="list" allowBlank="1" showInputMessage="1" showErrorMessage="1" sqref="L7:Q26 G7:I26 C7:D12 C13 C14:D15" xr:uid="{80D24785-9227-469B-B8FB-E5C76BD28420}">
      <formula1>$C$31:$C$35</formula1>
    </dataValidation>
    <dataValidation type="list" allowBlank="1" showInputMessage="1" showErrorMessage="1" sqref="E7:E26 J7:J26 R7:R26" xr:uid="{8C90AC4A-06A2-4A9D-BE24-25D20CC4883A}">
      <formula1>$B$31:$B$33</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6AA1C-AB3D-4C16-B816-AC1FCB3BCB45}">
  <dimension ref="B2:AA57"/>
  <sheetViews>
    <sheetView workbookViewId="0">
      <pane xSplit="6" ySplit="5" topLeftCell="G25" activePane="bottomRight" state="frozen"/>
      <selection pane="topRight" activeCell="G1" sqref="G1"/>
      <selection pane="bottomLeft" activeCell="A6" sqref="A6"/>
      <selection pane="bottomRight" activeCell="F32" sqref="F32"/>
    </sheetView>
  </sheetViews>
  <sheetFormatPr baseColWidth="10" defaultColWidth="8.83203125" defaultRowHeight="16" x14ac:dyDescent="0.2"/>
  <cols>
    <col min="2" max="2" width="13.6640625" customWidth="1"/>
    <col min="3" max="3" width="12.33203125" customWidth="1"/>
    <col min="4" max="4" width="17.6640625" customWidth="1"/>
    <col min="5" max="6" width="29.33203125" customWidth="1"/>
    <col min="7" max="10" width="23.5" customWidth="1"/>
    <col min="11" max="11" width="35.1640625" customWidth="1"/>
    <col min="12" max="12" width="29.33203125" customWidth="1"/>
    <col min="13" max="13" width="18.33203125" customWidth="1"/>
    <col min="14" max="14" width="23" customWidth="1"/>
    <col min="15" max="15" width="124.5" bestFit="1" customWidth="1"/>
    <col min="16" max="19" width="33.83203125" customWidth="1"/>
    <col min="20" max="20" width="35.5" customWidth="1"/>
    <col min="21" max="21" width="38.5" customWidth="1"/>
    <col min="22" max="22" width="13.5" customWidth="1"/>
    <col min="23" max="23" width="18.6640625" customWidth="1"/>
    <col min="24" max="24" width="11" customWidth="1"/>
    <col min="25" max="26" width="18.6640625" customWidth="1"/>
    <col min="27" max="27" width="14.83203125" customWidth="1"/>
    <col min="28" max="28" width="15" customWidth="1"/>
  </cols>
  <sheetData>
    <row r="2" spans="2:27" x14ac:dyDescent="0.2">
      <c r="B2" t="s">
        <v>437</v>
      </c>
    </row>
    <row r="4" spans="2:27" x14ac:dyDescent="0.2">
      <c r="P4" s="43" t="s">
        <v>476</v>
      </c>
      <c r="Q4" s="43"/>
      <c r="R4" s="43"/>
      <c r="S4" s="43"/>
      <c r="T4" s="44" t="s">
        <v>446</v>
      </c>
      <c r="U4" s="44"/>
      <c r="V4" s="44"/>
      <c r="W4" s="44"/>
      <c r="X4" s="44"/>
      <c r="Y4" s="44"/>
      <c r="Z4" s="44"/>
      <c r="AA4" s="44"/>
    </row>
    <row r="5" spans="2:27" x14ac:dyDescent="0.2">
      <c r="B5" t="s">
        <v>1</v>
      </c>
      <c r="C5" t="s">
        <v>351</v>
      </c>
      <c r="D5" t="s">
        <v>413</v>
      </c>
      <c r="E5" t="s">
        <v>426</v>
      </c>
      <c r="F5" t="s">
        <v>442</v>
      </c>
      <c r="G5" t="s">
        <v>425</v>
      </c>
      <c r="H5" t="s">
        <v>414</v>
      </c>
      <c r="I5" t="s">
        <v>473</v>
      </c>
      <c r="J5" t="s">
        <v>502</v>
      </c>
      <c r="K5" t="s">
        <v>554</v>
      </c>
      <c r="L5" t="s">
        <v>555</v>
      </c>
      <c r="M5" t="s">
        <v>431</v>
      </c>
      <c r="N5" t="s">
        <v>427</v>
      </c>
      <c r="O5" t="s">
        <v>540</v>
      </c>
      <c r="P5" t="s">
        <v>430</v>
      </c>
      <c r="Q5" t="s">
        <v>432</v>
      </c>
      <c r="R5" t="s">
        <v>458</v>
      </c>
      <c r="S5" t="s">
        <v>459</v>
      </c>
      <c r="T5" t="s">
        <v>429</v>
      </c>
      <c r="U5" t="s">
        <v>428</v>
      </c>
      <c r="V5" t="s">
        <v>433</v>
      </c>
      <c r="W5" t="s">
        <v>434</v>
      </c>
      <c r="X5" t="s">
        <v>440</v>
      </c>
      <c r="Y5" t="s">
        <v>441</v>
      </c>
      <c r="Z5" t="s">
        <v>435</v>
      </c>
      <c r="AA5" t="s">
        <v>436</v>
      </c>
    </row>
    <row r="6" spans="2:27" s="42" customFormat="1" x14ac:dyDescent="0.2">
      <c r="B6" s="42" t="s">
        <v>309</v>
      </c>
      <c r="C6" s="42">
        <v>31436156</v>
      </c>
      <c r="D6" s="42" t="s">
        <v>418</v>
      </c>
      <c r="E6" s="42" t="s">
        <v>438</v>
      </c>
      <c r="F6" s="42" t="s">
        <v>400</v>
      </c>
      <c r="G6" s="42" t="s">
        <v>352</v>
      </c>
      <c r="H6" s="42">
        <v>1143</v>
      </c>
      <c r="I6" s="42" t="s">
        <v>382</v>
      </c>
      <c r="K6" s="42" t="s">
        <v>456</v>
      </c>
      <c r="L6" s="42" t="s">
        <v>456</v>
      </c>
      <c r="M6" s="42" t="s">
        <v>439</v>
      </c>
      <c r="N6" s="42" t="s">
        <v>456</v>
      </c>
      <c r="P6" s="42" t="s">
        <v>352</v>
      </c>
      <c r="Q6" s="42" t="s">
        <v>563</v>
      </c>
      <c r="R6" s="42" t="s">
        <v>564</v>
      </c>
      <c r="S6" s="42" t="s">
        <v>565</v>
      </c>
      <c r="T6" s="42" t="s">
        <v>352</v>
      </c>
      <c r="U6" s="42" t="s">
        <v>456</v>
      </c>
      <c r="V6" s="42" t="s">
        <v>456</v>
      </c>
      <c r="W6" s="42">
        <v>15</v>
      </c>
      <c r="X6" s="42">
        <v>8</v>
      </c>
      <c r="Y6" s="42">
        <v>32</v>
      </c>
    </row>
    <row r="7" spans="2:27" s="42" customFormat="1" x14ac:dyDescent="0.2">
      <c r="B7" s="42" t="s">
        <v>309</v>
      </c>
      <c r="C7" s="42">
        <v>31436156</v>
      </c>
      <c r="D7" s="42" t="s">
        <v>418</v>
      </c>
      <c r="E7" s="42" t="s">
        <v>438</v>
      </c>
      <c r="F7" s="42" t="s">
        <v>399</v>
      </c>
      <c r="G7" s="42" t="s">
        <v>352</v>
      </c>
      <c r="H7" s="42">
        <v>1143</v>
      </c>
      <c r="I7" s="42" t="s">
        <v>382</v>
      </c>
      <c r="K7" s="42" t="s">
        <v>456</v>
      </c>
      <c r="L7" s="42" t="s">
        <v>456</v>
      </c>
      <c r="M7" s="42" t="s">
        <v>465</v>
      </c>
      <c r="N7" s="42" t="s">
        <v>456</v>
      </c>
      <c r="P7" s="42" t="s">
        <v>352</v>
      </c>
      <c r="Q7" s="42" t="s">
        <v>457</v>
      </c>
      <c r="R7" s="42">
        <v>689</v>
      </c>
      <c r="S7" s="42">
        <v>63.3</v>
      </c>
      <c r="T7" s="42" t="s">
        <v>382</v>
      </c>
      <c r="U7" s="42" t="s">
        <v>456</v>
      </c>
      <c r="V7" s="42" t="s">
        <v>456</v>
      </c>
      <c r="W7" s="42" t="s">
        <v>456</v>
      </c>
      <c r="X7" s="42" t="s">
        <v>456</v>
      </c>
      <c r="Y7" s="42" t="s">
        <v>456</v>
      </c>
      <c r="Z7" s="42" t="s">
        <v>456</v>
      </c>
      <c r="AA7" s="42" t="s">
        <v>456</v>
      </c>
    </row>
    <row r="8" spans="2:27" s="42" customFormat="1" x14ac:dyDescent="0.2">
      <c r="B8" s="42" t="s">
        <v>309</v>
      </c>
      <c r="C8" s="42">
        <v>31436156</v>
      </c>
      <c r="D8" s="42" t="s">
        <v>418</v>
      </c>
      <c r="E8" s="42" t="s">
        <v>438</v>
      </c>
      <c r="F8" s="42" t="s">
        <v>415</v>
      </c>
      <c r="G8" s="42" t="s">
        <v>352</v>
      </c>
      <c r="H8" s="42">
        <v>1143</v>
      </c>
      <c r="I8" s="42" t="s">
        <v>382</v>
      </c>
      <c r="K8" s="42" t="s">
        <v>456</v>
      </c>
      <c r="L8" s="42" t="s">
        <v>456</v>
      </c>
      <c r="M8" s="42" t="s">
        <v>460</v>
      </c>
      <c r="N8" s="42" t="s">
        <v>456</v>
      </c>
      <c r="O8" s="42" t="s">
        <v>559</v>
      </c>
      <c r="P8" s="42" t="s">
        <v>382</v>
      </c>
      <c r="Q8" s="42" t="s">
        <v>560</v>
      </c>
      <c r="R8" s="42" t="s">
        <v>561</v>
      </c>
      <c r="S8" s="42" t="s">
        <v>562</v>
      </c>
      <c r="T8" s="42" t="s">
        <v>352</v>
      </c>
      <c r="U8" s="42" t="s">
        <v>456</v>
      </c>
      <c r="V8" s="42" t="s">
        <v>456</v>
      </c>
      <c r="W8" s="42" t="s">
        <v>461</v>
      </c>
      <c r="X8" s="42" t="s">
        <v>462</v>
      </c>
      <c r="Y8" s="42" t="s">
        <v>463</v>
      </c>
      <c r="Z8" s="42" t="s">
        <v>456</v>
      </c>
      <c r="AA8" s="42" t="s">
        <v>456</v>
      </c>
    </row>
    <row r="9" spans="2:27" s="42" customFormat="1" x14ac:dyDescent="0.2">
      <c r="B9" s="42" t="s">
        <v>309</v>
      </c>
      <c r="C9" s="42">
        <v>31436156</v>
      </c>
      <c r="D9" s="42" t="s">
        <v>418</v>
      </c>
      <c r="E9" s="42" t="s">
        <v>438</v>
      </c>
      <c r="F9" s="42" t="s">
        <v>444</v>
      </c>
      <c r="G9" s="42" t="s">
        <v>352</v>
      </c>
      <c r="H9" s="42">
        <v>1143</v>
      </c>
      <c r="I9" s="42" t="s">
        <v>382</v>
      </c>
      <c r="K9" s="42" t="s">
        <v>456</v>
      </c>
      <c r="L9" s="42" t="s">
        <v>456</v>
      </c>
      <c r="M9" s="42" t="s">
        <v>497</v>
      </c>
      <c r="N9" s="42" t="s">
        <v>456</v>
      </c>
      <c r="P9" s="42" t="s">
        <v>352</v>
      </c>
      <c r="Q9" s="42" t="s">
        <v>569</v>
      </c>
      <c r="R9" s="42" t="s">
        <v>570</v>
      </c>
      <c r="S9" s="42" t="s">
        <v>571</v>
      </c>
      <c r="T9" s="42" t="s">
        <v>352</v>
      </c>
      <c r="U9" s="42" t="s">
        <v>456</v>
      </c>
      <c r="V9" s="42" t="s">
        <v>456</v>
      </c>
      <c r="W9" s="42" t="s">
        <v>499</v>
      </c>
      <c r="X9" s="42" t="s">
        <v>498</v>
      </c>
      <c r="Y9" s="42" t="s">
        <v>520</v>
      </c>
      <c r="Z9" s="42" t="s">
        <v>456</v>
      </c>
      <c r="AA9" s="42" t="s">
        <v>456</v>
      </c>
    </row>
    <row r="10" spans="2:27" x14ac:dyDescent="0.2">
      <c r="B10" s="42" t="s">
        <v>309</v>
      </c>
      <c r="C10" s="42">
        <v>31436156</v>
      </c>
      <c r="D10" s="42" t="s">
        <v>418</v>
      </c>
      <c r="E10" s="42" t="s">
        <v>438</v>
      </c>
      <c r="F10" s="42" t="s">
        <v>445</v>
      </c>
      <c r="G10" s="42" t="s">
        <v>352</v>
      </c>
      <c r="H10" s="42">
        <v>1143</v>
      </c>
      <c r="I10" s="42" t="s">
        <v>382</v>
      </c>
      <c r="J10" s="42"/>
      <c r="K10" s="42" t="s">
        <v>456</v>
      </c>
      <c r="L10" s="42" t="s">
        <v>456</v>
      </c>
      <c r="M10" s="42" t="s">
        <v>497</v>
      </c>
      <c r="N10" s="42" t="s">
        <v>456</v>
      </c>
      <c r="O10" s="42"/>
      <c r="P10" s="42" t="s">
        <v>382</v>
      </c>
      <c r="Q10" s="42" t="s">
        <v>456</v>
      </c>
      <c r="R10" s="42" t="s">
        <v>456</v>
      </c>
      <c r="S10" s="42" t="s">
        <v>456</v>
      </c>
      <c r="T10" s="42" t="s">
        <v>352</v>
      </c>
      <c r="U10" s="42" t="s">
        <v>456</v>
      </c>
      <c r="V10" s="42" t="s">
        <v>456</v>
      </c>
      <c r="W10" s="42" t="s">
        <v>498</v>
      </c>
      <c r="X10" s="42" t="s">
        <v>500</v>
      </c>
      <c r="Y10" s="42" t="s">
        <v>501</v>
      </c>
      <c r="Z10" s="42" t="s">
        <v>456</v>
      </c>
      <c r="AA10" s="42" t="s">
        <v>456</v>
      </c>
    </row>
    <row r="11" spans="2:27" x14ac:dyDescent="0.2">
      <c r="B11" s="42" t="s">
        <v>309</v>
      </c>
      <c r="C11" s="42">
        <v>31436156</v>
      </c>
      <c r="D11" s="42" t="s">
        <v>418</v>
      </c>
      <c r="E11" s="42" t="s">
        <v>438</v>
      </c>
      <c r="F11" s="42" t="s">
        <v>416</v>
      </c>
      <c r="G11" s="42" t="s">
        <v>352</v>
      </c>
      <c r="H11" s="42">
        <v>1143</v>
      </c>
      <c r="I11" s="42" t="s">
        <v>382</v>
      </c>
      <c r="J11" s="42"/>
      <c r="K11" s="42" t="s">
        <v>456</v>
      </c>
      <c r="L11" s="42" t="s">
        <v>456</v>
      </c>
      <c r="M11" s="42" t="s">
        <v>464</v>
      </c>
      <c r="N11" s="42" t="s">
        <v>456</v>
      </c>
      <c r="O11" s="42" t="s">
        <v>542</v>
      </c>
      <c r="P11" s="42" t="s">
        <v>352</v>
      </c>
      <c r="Q11" s="42" t="s">
        <v>352</v>
      </c>
      <c r="R11" s="42" t="s">
        <v>466</v>
      </c>
      <c r="S11" s="42" t="s">
        <v>467</v>
      </c>
      <c r="T11" s="42" t="s">
        <v>382</v>
      </c>
      <c r="U11" s="42" t="s">
        <v>456</v>
      </c>
      <c r="V11" s="42" t="s">
        <v>456</v>
      </c>
      <c r="W11" s="42" t="s">
        <v>456</v>
      </c>
      <c r="X11" s="42" t="s">
        <v>456</v>
      </c>
      <c r="Y11" s="42" t="s">
        <v>456</v>
      </c>
      <c r="Z11" s="42" t="s">
        <v>456</v>
      </c>
      <c r="AA11" s="42" t="s">
        <v>456</v>
      </c>
    </row>
    <row r="12" spans="2:27" x14ac:dyDescent="0.2">
      <c r="B12" s="42" t="s">
        <v>309</v>
      </c>
      <c r="C12" s="42">
        <v>31436156</v>
      </c>
      <c r="D12" s="42" t="s">
        <v>418</v>
      </c>
      <c r="E12" s="42" t="s">
        <v>438</v>
      </c>
      <c r="F12" s="42" t="s">
        <v>443</v>
      </c>
      <c r="G12" s="42" t="s">
        <v>352</v>
      </c>
      <c r="H12" s="42" t="s">
        <v>468</v>
      </c>
      <c r="I12" s="42" t="s">
        <v>382</v>
      </c>
      <c r="J12" s="42"/>
      <c r="K12" s="42" t="s">
        <v>456</v>
      </c>
      <c r="L12" s="42" t="s">
        <v>456</v>
      </c>
      <c r="M12" s="42" t="s">
        <v>469</v>
      </c>
      <c r="N12" s="42" t="s">
        <v>456</v>
      </c>
      <c r="O12" s="42" t="s">
        <v>541</v>
      </c>
      <c r="P12" s="42" t="s">
        <v>352</v>
      </c>
      <c r="Q12" s="42" t="s">
        <v>456</v>
      </c>
      <c r="R12" s="42" t="s">
        <v>468</v>
      </c>
      <c r="S12" s="42" t="s">
        <v>470</v>
      </c>
      <c r="T12" s="42" t="s">
        <v>352</v>
      </c>
      <c r="U12" s="42" t="s">
        <v>471</v>
      </c>
      <c r="V12" s="42" t="s">
        <v>472</v>
      </c>
      <c r="W12" s="42" t="s">
        <v>456</v>
      </c>
      <c r="X12" s="42" t="s">
        <v>456</v>
      </c>
      <c r="Y12" s="42" t="s">
        <v>456</v>
      </c>
      <c r="Z12" s="42" t="s">
        <v>456</v>
      </c>
      <c r="AA12" s="42" t="s">
        <v>456</v>
      </c>
    </row>
    <row r="13" spans="2:27" x14ac:dyDescent="0.2">
      <c r="B13" s="42" t="s">
        <v>309</v>
      </c>
      <c r="C13" s="42">
        <v>31436156</v>
      </c>
      <c r="D13" s="42" t="s">
        <v>418</v>
      </c>
      <c r="E13" s="42" t="s">
        <v>438</v>
      </c>
      <c r="F13" s="42" t="s">
        <v>474</v>
      </c>
      <c r="G13" s="42" t="s">
        <v>352</v>
      </c>
      <c r="H13" s="42" t="s">
        <v>468</v>
      </c>
      <c r="I13" s="42" t="s">
        <v>382</v>
      </c>
      <c r="J13" s="42"/>
      <c r="K13" s="42" t="s">
        <v>456</v>
      </c>
      <c r="L13" s="42" t="s">
        <v>456</v>
      </c>
      <c r="M13" s="42" t="s">
        <v>475</v>
      </c>
      <c r="N13" s="42" t="s">
        <v>456</v>
      </c>
      <c r="O13" s="42" t="s">
        <v>541</v>
      </c>
      <c r="P13" s="42" t="s">
        <v>382</v>
      </c>
      <c r="Q13" s="42" t="s">
        <v>456</v>
      </c>
      <c r="R13" s="42" t="s">
        <v>456</v>
      </c>
      <c r="S13" s="42" t="s">
        <v>456</v>
      </c>
      <c r="T13" s="42" t="s">
        <v>352</v>
      </c>
      <c r="U13" s="42" t="s">
        <v>456</v>
      </c>
      <c r="V13" s="42" t="s">
        <v>456</v>
      </c>
      <c r="W13" s="42" t="s">
        <v>477</v>
      </c>
      <c r="X13" s="42" t="s">
        <v>478</v>
      </c>
      <c r="Y13" s="42" t="s">
        <v>479</v>
      </c>
      <c r="Z13" s="42" t="s">
        <v>456</v>
      </c>
      <c r="AA13" s="42" t="s">
        <v>456</v>
      </c>
    </row>
    <row r="14" spans="2:27" x14ac:dyDescent="0.2">
      <c r="B14" s="42" t="s">
        <v>309</v>
      </c>
      <c r="C14" s="42">
        <v>31436156</v>
      </c>
      <c r="D14" s="42" t="s">
        <v>418</v>
      </c>
      <c r="E14" s="42" t="s">
        <v>438</v>
      </c>
      <c r="F14" s="42" t="s">
        <v>480</v>
      </c>
      <c r="G14" s="42" t="s">
        <v>352</v>
      </c>
      <c r="H14" s="42" t="s">
        <v>468</v>
      </c>
      <c r="I14" s="42" t="s">
        <v>382</v>
      </c>
      <c r="J14" s="42"/>
      <c r="K14" s="42" t="s">
        <v>488</v>
      </c>
      <c r="L14" s="42" t="s">
        <v>456</v>
      </c>
      <c r="M14" s="42" t="s">
        <v>464</v>
      </c>
      <c r="N14" s="42" t="s">
        <v>456</v>
      </c>
      <c r="O14" s="42"/>
      <c r="P14" s="42" t="s">
        <v>352</v>
      </c>
      <c r="Q14" s="42" t="s">
        <v>489</v>
      </c>
      <c r="R14" s="42" t="s">
        <v>490</v>
      </c>
      <c r="S14" s="42" t="s">
        <v>491</v>
      </c>
      <c r="T14" s="42" t="s">
        <v>382</v>
      </c>
      <c r="U14" s="42" t="s">
        <v>456</v>
      </c>
      <c r="V14" s="42" t="s">
        <v>456</v>
      </c>
      <c r="W14" s="42" t="s">
        <v>456</v>
      </c>
      <c r="X14" s="42" t="s">
        <v>456</v>
      </c>
      <c r="Y14" s="42" t="s">
        <v>456</v>
      </c>
      <c r="Z14" s="42" t="s">
        <v>456</v>
      </c>
      <c r="AA14" s="42" t="s">
        <v>456</v>
      </c>
    </row>
    <row r="15" spans="2:27" x14ac:dyDescent="0.2">
      <c r="B15" s="42" t="s">
        <v>309</v>
      </c>
      <c r="C15" s="42">
        <v>31436156</v>
      </c>
      <c r="D15" s="42" t="s">
        <v>418</v>
      </c>
      <c r="E15" s="42" t="s">
        <v>438</v>
      </c>
      <c r="F15" s="42" t="s">
        <v>481</v>
      </c>
      <c r="G15" s="42" t="s">
        <v>352</v>
      </c>
      <c r="H15" s="42" t="s">
        <v>468</v>
      </c>
      <c r="I15" s="42" t="s">
        <v>382</v>
      </c>
      <c r="J15" s="42"/>
      <c r="K15" s="42" t="s">
        <v>456</v>
      </c>
      <c r="L15" s="42" t="s">
        <v>456</v>
      </c>
      <c r="M15" s="42" t="s">
        <v>464</v>
      </c>
      <c r="N15" s="42" t="s">
        <v>456</v>
      </c>
      <c r="O15" s="42"/>
      <c r="P15" s="42" t="s">
        <v>352</v>
      </c>
      <c r="Q15" s="42" t="s">
        <v>489</v>
      </c>
      <c r="R15" s="42" t="s">
        <v>492</v>
      </c>
      <c r="S15" s="42" t="s">
        <v>493</v>
      </c>
      <c r="T15" s="42" t="s">
        <v>382</v>
      </c>
      <c r="U15" s="42" t="s">
        <v>456</v>
      </c>
      <c r="V15" s="42" t="s">
        <v>456</v>
      </c>
      <c r="W15" s="42" t="s">
        <v>456</v>
      </c>
      <c r="X15" s="42" t="s">
        <v>456</v>
      </c>
      <c r="Y15" s="42" t="s">
        <v>456</v>
      </c>
      <c r="Z15" s="42" t="s">
        <v>456</v>
      </c>
      <c r="AA15" s="42" t="s">
        <v>456</v>
      </c>
    </row>
    <row r="16" spans="2:27" x14ac:dyDescent="0.2">
      <c r="B16" s="42" t="s">
        <v>309</v>
      </c>
      <c r="C16" s="42">
        <v>31436156</v>
      </c>
      <c r="D16" s="42" t="s">
        <v>418</v>
      </c>
      <c r="E16" s="42" t="s">
        <v>438</v>
      </c>
      <c r="F16" s="42" t="s">
        <v>453</v>
      </c>
      <c r="G16" s="42" t="s">
        <v>352</v>
      </c>
      <c r="H16" s="42" t="s">
        <v>468</v>
      </c>
      <c r="I16" s="42" t="s">
        <v>382</v>
      </c>
      <c r="J16" s="42"/>
      <c r="K16" s="42" t="s">
        <v>456</v>
      </c>
      <c r="L16" s="42" t="s">
        <v>456</v>
      </c>
      <c r="M16" s="42" t="s">
        <v>464</v>
      </c>
      <c r="N16" s="42" t="s">
        <v>456</v>
      </c>
      <c r="O16" s="42"/>
      <c r="P16" s="42" t="s">
        <v>352</v>
      </c>
      <c r="Q16" s="42" t="s">
        <v>489</v>
      </c>
      <c r="R16" s="42" t="s">
        <v>494</v>
      </c>
      <c r="S16" s="42" t="s">
        <v>495</v>
      </c>
      <c r="T16" s="42" t="s">
        <v>382</v>
      </c>
      <c r="U16" s="42" t="s">
        <v>456</v>
      </c>
      <c r="V16" s="42" t="s">
        <v>456</v>
      </c>
      <c r="W16" s="42" t="s">
        <v>456</v>
      </c>
      <c r="X16" s="42" t="s">
        <v>456</v>
      </c>
      <c r="Y16" s="42" t="s">
        <v>456</v>
      </c>
      <c r="Z16" s="42" t="s">
        <v>456</v>
      </c>
      <c r="AA16" s="42" t="s">
        <v>456</v>
      </c>
    </row>
    <row r="17" spans="2:27" x14ac:dyDescent="0.2">
      <c r="B17" s="42" t="s">
        <v>309</v>
      </c>
      <c r="C17" s="42">
        <v>31436156</v>
      </c>
      <c r="D17" s="42" t="s">
        <v>418</v>
      </c>
      <c r="E17" s="42" t="s">
        <v>438</v>
      </c>
      <c r="F17" s="42" t="s">
        <v>454</v>
      </c>
      <c r="G17" s="42" t="s">
        <v>352</v>
      </c>
      <c r="H17" s="42" t="s">
        <v>468</v>
      </c>
      <c r="I17" s="42" t="s">
        <v>382</v>
      </c>
      <c r="J17" s="42"/>
      <c r="K17" s="42" t="s">
        <v>456</v>
      </c>
      <c r="L17" s="42" t="s">
        <v>456</v>
      </c>
      <c r="M17" s="42" t="s">
        <v>464</v>
      </c>
      <c r="N17" s="42" t="s">
        <v>456</v>
      </c>
      <c r="O17" s="42"/>
      <c r="P17" s="42" t="s">
        <v>352</v>
      </c>
      <c r="Q17" s="42" t="s">
        <v>489</v>
      </c>
      <c r="R17" s="42" t="s">
        <v>496</v>
      </c>
      <c r="S17" s="42" t="s">
        <v>583</v>
      </c>
      <c r="T17" s="42" t="s">
        <v>382</v>
      </c>
      <c r="U17" s="42" t="s">
        <v>456</v>
      </c>
      <c r="V17" s="42" t="s">
        <v>456</v>
      </c>
      <c r="W17" s="42" t="s">
        <v>456</v>
      </c>
      <c r="X17" s="42" t="s">
        <v>456</v>
      </c>
      <c r="Y17" s="42" t="s">
        <v>456</v>
      </c>
      <c r="Z17" s="42" t="s">
        <v>456</v>
      </c>
      <c r="AA17" s="42" t="s">
        <v>456</v>
      </c>
    </row>
    <row r="18" spans="2:27" x14ac:dyDescent="0.2">
      <c r="B18" s="42" t="s">
        <v>309</v>
      </c>
      <c r="C18" s="42">
        <v>31436156</v>
      </c>
      <c r="D18" s="42" t="s">
        <v>418</v>
      </c>
      <c r="E18" s="42" t="s">
        <v>438</v>
      </c>
      <c r="F18" s="42" t="s">
        <v>482</v>
      </c>
      <c r="G18" s="42" t="s">
        <v>352</v>
      </c>
      <c r="H18" s="42" t="s">
        <v>468</v>
      </c>
      <c r="I18" s="42" t="s">
        <v>382</v>
      </c>
      <c r="J18" s="42"/>
      <c r="K18" s="42" t="s">
        <v>456</v>
      </c>
      <c r="L18" s="42" t="s">
        <v>456</v>
      </c>
      <c r="M18" s="42" t="s">
        <v>503</v>
      </c>
      <c r="N18" s="42" t="s">
        <v>456</v>
      </c>
      <c r="O18" s="42"/>
      <c r="P18" s="42" t="s">
        <v>382</v>
      </c>
      <c r="Q18" s="42" t="s">
        <v>456</v>
      </c>
      <c r="R18" s="42" t="s">
        <v>456</v>
      </c>
      <c r="S18" s="42" t="s">
        <v>456</v>
      </c>
      <c r="T18" s="42" t="s">
        <v>352</v>
      </c>
      <c r="U18" s="42" t="s">
        <v>504</v>
      </c>
      <c r="V18" s="42" t="s">
        <v>505</v>
      </c>
      <c r="W18" s="42" t="s">
        <v>456</v>
      </c>
      <c r="X18" s="42" t="s">
        <v>456</v>
      </c>
      <c r="Y18" s="42" t="s">
        <v>456</v>
      </c>
      <c r="Z18" s="42" t="s">
        <v>456</v>
      </c>
      <c r="AA18" s="42" t="s">
        <v>456</v>
      </c>
    </row>
    <row r="19" spans="2:27" x14ac:dyDescent="0.2">
      <c r="B19" s="42" t="s">
        <v>309</v>
      </c>
      <c r="C19" s="42">
        <v>31436156</v>
      </c>
      <c r="D19" s="42" t="s">
        <v>418</v>
      </c>
      <c r="E19" s="42" t="s">
        <v>438</v>
      </c>
      <c r="F19" s="42" t="s">
        <v>484</v>
      </c>
      <c r="G19" s="42" t="s">
        <v>352</v>
      </c>
      <c r="H19" s="42" t="s">
        <v>468</v>
      </c>
      <c r="I19" s="42" t="s">
        <v>382</v>
      </c>
      <c r="J19" s="42"/>
      <c r="K19" s="42" t="s">
        <v>456</v>
      </c>
      <c r="L19" s="42" t="s">
        <v>456</v>
      </c>
      <c r="M19" s="42" t="s">
        <v>506</v>
      </c>
      <c r="N19" s="42" t="s">
        <v>456</v>
      </c>
      <c r="O19" s="42"/>
      <c r="P19" s="42" t="s">
        <v>382</v>
      </c>
      <c r="Q19" s="42" t="s">
        <v>456</v>
      </c>
      <c r="R19" s="42" t="s">
        <v>456</v>
      </c>
      <c r="S19" s="42" t="s">
        <v>456</v>
      </c>
      <c r="T19" s="42" t="s">
        <v>352</v>
      </c>
      <c r="U19" s="42" t="s">
        <v>456</v>
      </c>
      <c r="V19" s="42" t="s">
        <v>456</v>
      </c>
      <c r="W19" s="42" t="s">
        <v>507</v>
      </c>
      <c r="X19" s="42" t="s">
        <v>508</v>
      </c>
      <c r="Y19" s="42" t="s">
        <v>509</v>
      </c>
      <c r="Z19" s="42" t="s">
        <v>456</v>
      </c>
      <c r="AA19" s="42" t="s">
        <v>456</v>
      </c>
    </row>
    <row r="20" spans="2:27" x14ac:dyDescent="0.2">
      <c r="B20" s="42" t="s">
        <v>309</v>
      </c>
      <c r="C20" s="42">
        <v>31436156</v>
      </c>
      <c r="D20" s="42" t="s">
        <v>418</v>
      </c>
      <c r="E20" s="42" t="s">
        <v>438</v>
      </c>
      <c r="F20" s="42" t="s">
        <v>485</v>
      </c>
      <c r="G20" s="42" t="s">
        <v>352</v>
      </c>
      <c r="H20" s="42" t="s">
        <v>468</v>
      </c>
      <c r="I20" s="42" t="s">
        <v>382</v>
      </c>
      <c r="J20" s="42"/>
      <c r="K20" s="42" t="s">
        <v>456</v>
      </c>
      <c r="L20" s="42" t="s">
        <v>456</v>
      </c>
      <c r="M20" s="42" t="s">
        <v>510</v>
      </c>
      <c r="N20" s="42" t="s">
        <v>456</v>
      </c>
      <c r="O20" s="42"/>
      <c r="P20" s="42" t="s">
        <v>352</v>
      </c>
      <c r="Q20" s="42" t="s">
        <v>566</v>
      </c>
      <c r="R20" s="42" t="s">
        <v>567</v>
      </c>
      <c r="S20" s="42" t="s">
        <v>568</v>
      </c>
      <c r="T20" s="42" t="s">
        <v>352</v>
      </c>
      <c r="U20" s="42" t="s">
        <v>456</v>
      </c>
      <c r="V20" s="42" t="s">
        <v>456</v>
      </c>
      <c r="W20" s="42" t="s">
        <v>511</v>
      </c>
      <c r="X20" s="42" t="s">
        <v>512</v>
      </c>
      <c r="Y20" s="42" t="s">
        <v>513</v>
      </c>
      <c r="Z20" s="42" t="s">
        <v>456</v>
      </c>
      <c r="AA20" s="42" t="s">
        <v>456</v>
      </c>
    </row>
    <row r="21" spans="2:27" x14ac:dyDescent="0.2">
      <c r="B21" s="42" t="s">
        <v>309</v>
      </c>
      <c r="C21" s="42">
        <v>31436156</v>
      </c>
      <c r="D21" s="42" t="s">
        <v>418</v>
      </c>
      <c r="E21" s="42" t="s">
        <v>438</v>
      </c>
      <c r="F21" s="42" t="s">
        <v>486</v>
      </c>
      <c r="G21" s="42" t="s">
        <v>352</v>
      </c>
      <c r="H21" s="42" t="s">
        <v>468</v>
      </c>
      <c r="I21" s="42" t="s">
        <v>382</v>
      </c>
      <c r="J21" s="42"/>
      <c r="K21" s="42" t="s">
        <v>456</v>
      </c>
      <c r="L21" s="42" t="s">
        <v>456</v>
      </c>
      <c r="M21" s="42" t="s">
        <v>514</v>
      </c>
      <c r="N21" s="42" t="s">
        <v>456</v>
      </c>
      <c r="O21" s="42"/>
      <c r="P21" s="42" t="s">
        <v>382</v>
      </c>
      <c r="Q21" s="42" t="s">
        <v>456</v>
      </c>
      <c r="R21" s="42" t="s">
        <v>456</v>
      </c>
      <c r="S21" s="42" t="s">
        <v>456</v>
      </c>
      <c r="T21" s="42" t="s">
        <v>352</v>
      </c>
      <c r="U21" s="42" t="s">
        <v>515</v>
      </c>
      <c r="V21" s="42" t="s">
        <v>516</v>
      </c>
      <c r="W21" s="42" t="s">
        <v>456</v>
      </c>
      <c r="X21" s="42" t="s">
        <v>456</v>
      </c>
      <c r="Y21" s="42" t="s">
        <v>456</v>
      </c>
      <c r="Z21" s="42" t="s">
        <v>456</v>
      </c>
      <c r="AA21" s="42" t="s">
        <v>456</v>
      </c>
    </row>
    <row r="22" spans="2:27" x14ac:dyDescent="0.2">
      <c r="B22" s="42" t="s">
        <v>309</v>
      </c>
      <c r="C22" s="42">
        <v>31436156</v>
      </c>
      <c r="D22" s="42" t="s">
        <v>418</v>
      </c>
      <c r="E22" s="42" t="s">
        <v>438</v>
      </c>
      <c r="F22" s="42" t="s">
        <v>487</v>
      </c>
      <c r="G22" s="42" t="s">
        <v>352</v>
      </c>
      <c r="H22" s="42" t="s">
        <v>468</v>
      </c>
      <c r="I22" s="42" t="s">
        <v>382</v>
      </c>
      <c r="J22" s="42"/>
      <c r="K22" s="42" t="s">
        <v>456</v>
      </c>
      <c r="L22" s="42" t="s">
        <v>456</v>
      </c>
      <c r="M22" s="42" t="s">
        <v>514</v>
      </c>
      <c r="N22" s="42" t="s">
        <v>456</v>
      </c>
      <c r="O22" s="42"/>
      <c r="P22" s="42" t="s">
        <v>382</v>
      </c>
      <c r="Q22" s="42" t="s">
        <v>456</v>
      </c>
      <c r="R22" s="42" t="s">
        <v>456</v>
      </c>
      <c r="S22" s="42" t="s">
        <v>456</v>
      </c>
      <c r="T22" s="42" t="s">
        <v>352</v>
      </c>
      <c r="U22" s="42" t="s">
        <v>517</v>
      </c>
      <c r="V22" s="42" t="s">
        <v>518</v>
      </c>
      <c r="W22" s="42" t="s">
        <v>456</v>
      </c>
      <c r="X22" s="42" t="s">
        <v>456</v>
      </c>
      <c r="Y22" s="42" t="s">
        <v>456</v>
      </c>
      <c r="Z22" s="42" t="s">
        <v>456</v>
      </c>
      <c r="AA22" s="42" t="s">
        <v>456</v>
      </c>
    </row>
    <row r="23" spans="2:27" x14ac:dyDescent="0.2">
      <c r="B23" s="42" t="s">
        <v>309</v>
      </c>
      <c r="C23" s="42">
        <v>31436156</v>
      </c>
      <c r="D23" s="42" t="s">
        <v>403</v>
      </c>
      <c r="E23" s="42" t="s">
        <v>521</v>
      </c>
      <c r="F23" s="42" t="s">
        <v>415</v>
      </c>
      <c r="G23" s="42" t="s">
        <v>352</v>
      </c>
      <c r="H23" s="42" t="s">
        <v>522</v>
      </c>
      <c r="I23" s="42" t="s">
        <v>352</v>
      </c>
      <c r="J23" s="42" t="s">
        <v>523</v>
      </c>
      <c r="K23" s="42" t="s">
        <v>456</v>
      </c>
      <c r="L23" s="42" t="s">
        <v>456</v>
      </c>
      <c r="M23" s="42" t="s">
        <v>460</v>
      </c>
      <c r="N23" s="42" t="s">
        <v>456</v>
      </c>
      <c r="O23" s="42"/>
      <c r="P23" s="42" t="s">
        <v>382</v>
      </c>
      <c r="Q23" s="42" t="s">
        <v>456</v>
      </c>
      <c r="R23" s="42" t="s">
        <v>456</v>
      </c>
      <c r="S23" s="42" t="s">
        <v>456</v>
      </c>
      <c r="T23" s="42" t="s">
        <v>352</v>
      </c>
      <c r="U23" s="42" t="s">
        <v>456</v>
      </c>
      <c r="V23" s="42" t="s">
        <v>456</v>
      </c>
      <c r="W23" s="42" t="s">
        <v>519</v>
      </c>
      <c r="X23" s="42" t="s">
        <v>524</v>
      </c>
      <c r="Y23" s="42" t="s">
        <v>525</v>
      </c>
      <c r="Z23" s="42" t="s">
        <v>456</v>
      </c>
      <c r="AA23" s="42" t="s">
        <v>456</v>
      </c>
    </row>
    <row r="24" spans="2:27" x14ac:dyDescent="0.2">
      <c r="B24" s="42" t="s">
        <v>309</v>
      </c>
      <c r="C24" s="42">
        <v>31436156</v>
      </c>
      <c r="D24" s="42" t="s">
        <v>403</v>
      </c>
      <c r="E24" s="42" t="s">
        <v>521</v>
      </c>
      <c r="F24" s="42" t="s">
        <v>443</v>
      </c>
      <c r="G24" s="42" t="s">
        <v>352</v>
      </c>
      <c r="H24" s="42" t="s">
        <v>522</v>
      </c>
      <c r="I24" s="42" t="s">
        <v>352</v>
      </c>
      <c r="J24" s="42" t="s">
        <v>523</v>
      </c>
      <c r="K24" s="42" t="s">
        <v>456</v>
      </c>
      <c r="L24" s="42" t="s">
        <v>456</v>
      </c>
      <c r="M24" s="42" t="s">
        <v>469</v>
      </c>
      <c r="N24" s="42" t="s">
        <v>456</v>
      </c>
      <c r="O24" s="42"/>
      <c r="P24" s="42" t="s">
        <v>382</v>
      </c>
      <c r="Q24" s="42" t="s">
        <v>456</v>
      </c>
      <c r="R24" s="42" t="s">
        <v>456</v>
      </c>
      <c r="S24" s="42" t="s">
        <v>456</v>
      </c>
      <c r="T24" s="42" t="s">
        <v>352</v>
      </c>
      <c r="U24" s="42" t="s">
        <v>526</v>
      </c>
      <c r="V24" s="42" t="s">
        <v>527</v>
      </c>
      <c r="W24" s="42" t="s">
        <v>456</v>
      </c>
      <c r="X24" s="42" t="s">
        <v>456</v>
      </c>
      <c r="Y24" s="42" t="s">
        <v>456</v>
      </c>
      <c r="Z24" s="42" t="s">
        <v>456</v>
      </c>
      <c r="AA24" s="42" t="s">
        <v>456</v>
      </c>
    </row>
    <row r="25" spans="2:27" x14ac:dyDescent="0.2">
      <c r="B25" s="42" t="s">
        <v>309</v>
      </c>
      <c r="C25" s="42">
        <v>31436156</v>
      </c>
      <c r="D25" s="42" t="s">
        <v>403</v>
      </c>
      <c r="E25" s="42" t="s">
        <v>521</v>
      </c>
      <c r="F25" s="42" t="s">
        <v>444</v>
      </c>
      <c r="G25" s="42" t="s">
        <v>352</v>
      </c>
      <c r="H25" s="42" t="s">
        <v>522</v>
      </c>
      <c r="I25" s="42" t="s">
        <v>352</v>
      </c>
      <c r="J25" s="42" t="s">
        <v>523</v>
      </c>
      <c r="K25" s="42" t="s">
        <v>456</v>
      </c>
      <c r="L25" s="42" t="s">
        <v>456</v>
      </c>
      <c r="M25" s="42" t="s">
        <v>497</v>
      </c>
      <c r="N25" s="42" t="s">
        <v>456</v>
      </c>
      <c r="O25" s="42"/>
      <c r="P25" s="42" t="s">
        <v>382</v>
      </c>
      <c r="Q25" s="42" t="s">
        <v>456</v>
      </c>
      <c r="R25" s="42" t="s">
        <v>456</v>
      </c>
      <c r="S25" s="42" t="s">
        <v>456</v>
      </c>
      <c r="T25" s="42" t="s">
        <v>352</v>
      </c>
      <c r="U25" s="42" t="s">
        <v>456</v>
      </c>
      <c r="V25" s="42" t="s">
        <v>456</v>
      </c>
      <c r="W25" s="42" t="s">
        <v>498</v>
      </c>
      <c r="X25" s="42" t="s">
        <v>498</v>
      </c>
      <c r="Y25" s="42" t="s">
        <v>501</v>
      </c>
      <c r="Z25" s="42" t="s">
        <v>456</v>
      </c>
      <c r="AA25" s="42" t="s">
        <v>456</v>
      </c>
    </row>
    <row r="26" spans="2:27" x14ac:dyDescent="0.2">
      <c r="B26" s="42" t="s">
        <v>309</v>
      </c>
      <c r="C26" s="42">
        <v>31436156</v>
      </c>
      <c r="D26" s="42" t="s">
        <v>403</v>
      </c>
      <c r="E26" s="42" t="s">
        <v>521</v>
      </c>
      <c r="F26" s="42" t="s">
        <v>445</v>
      </c>
      <c r="G26" s="42" t="s">
        <v>352</v>
      </c>
      <c r="H26" s="42" t="s">
        <v>522</v>
      </c>
      <c r="I26" s="42" t="s">
        <v>352</v>
      </c>
      <c r="J26" s="42" t="s">
        <v>523</v>
      </c>
      <c r="K26" s="42" t="s">
        <v>456</v>
      </c>
      <c r="L26" s="42" t="s">
        <v>456</v>
      </c>
      <c r="M26" s="42" t="s">
        <v>497</v>
      </c>
      <c r="N26" s="42" t="s">
        <v>456</v>
      </c>
      <c r="O26" s="42"/>
      <c r="P26" s="42" t="s">
        <v>382</v>
      </c>
      <c r="Q26" s="42" t="s">
        <v>456</v>
      </c>
      <c r="R26" s="42" t="s">
        <v>456</v>
      </c>
      <c r="S26" s="42" t="s">
        <v>456</v>
      </c>
      <c r="T26" s="42" t="s">
        <v>352</v>
      </c>
      <c r="U26" s="42" t="s">
        <v>456</v>
      </c>
      <c r="V26" s="42" t="s">
        <v>456</v>
      </c>
      <c r="W26" s="42" t="s">
        <v>498</v>
      </c>
      <c r="X26" s="42" t="s">
        <v>500</v>
      </c>
      <c r="Y26" s="42" t="s">
        <v>498</v>
      </c>
      <c r="Z26" s="42" t="s">
        <v>456</v>
      </c>
      <c r="AA26" s="42" t="s">
        <v>456</v>
      </c>
    </row>
    <row r="27" spans="2:27" x14ac:dyDescent="0.2">
      <c r="B27" s="42" t="s">
        <v>309</v>
      </c>
      <c r="C27" s="42">
        <v>31436156</v>
      </c>
      <c r="D27" s="42" t="s">
        <v>403</v>
      </c>
      <c r="E27" s="42" t="s">
        <v>521</v>
      </c>
      <c r="F27" s="42" t="s">
        <v>482</v>
      </c>
      <c r="G27" s="42" t="s">
        <v>352</v>
      </c>
      <c r="H27" s="42" t="s">
        <v>522</v>
      </c>
      <c r="I27" s="42" t="s">
        <v>352</v>
      </c>
      <c r="J27" s="42" t="s">
        <v>523</v>
      </c>
      <c r="K27" s="42" t="s">
        <v>456</v>
      </c>
      <c r="L27" s="42" t="s">
        <v>456</v>
      </c>
      <c r="M27" s="42" t="s">
        <v>503</v>
      </c>
      <c r="N27" s="42" t="s">
        <v>456</v>
      </c>
      <c r="O27" s="42"/>
      <c r="P27" s="42" t="s">
        <v>382</v>
      </c>
      <c r="Q27" s="42" t="s">
        <v>456</v>
      </c>
      <c r="R27" s="42" t="s">
        <v>456</v>
      </c>
      <c r="S27" s="42" t="s">
        <v>456</v>
      </c>
      <c r="T27" s="42" t="s">
        <v>352</v>
      </c>
      <c r="U27" s="42" t="s">
        <v>528</v>
      </c>
      <c r="V27" s="42" t="s">
        <v>529</v>
      </c>
      <c r="W27" s="42" t="s">
        <v>456</v>
      </c>
      <c r="X27" s="42" t="s">
        <v>456</v>
      </c>
      <c r="Y27" s="42" t="s">
        <v>456</v>
      </c>
      <c r="Z27" s="42" t="s">
        <v>456</v>
      </c>
      <c r="AA27" s="42" t="s">
        <v>456</v>
      </c>
    </row>
    <row r="28" spans="2:27" x14ac:dyDescent="0.2">
      <c r="B28" s="42" t="s">
        <v>309</v>
      </c>
      <c r="C28" s="42">
        <v>31436156</v>
      </c>
      <c r="D28" s="42" t="s">
        <v>403</v>
      </c>
      <c r="E28" s="42" t="s">
        <v>521</v>
      </c>
      <c r="F28" s="42" t="s">
        <v>484</v>
      </c>
      <c r="G28" s="42" t="s">
        <v>352</v>
      </c>
      <c r="H28" s="42" t="s">
        <v>522</v>
      </c>
      <c r="I28" s="42" t="s">
        <v>352</v>
      </c>
      <c r="J28" s="42" t="s">
        <v>523</v>
      </c>
      <c r="K28" s="42" t="s">
        <v>456</v>
      </c>
      <c r="L28" s="42" t="s">
        <v>456</v>
      </c>
      <c r="M28" s="42" t="s">
        <v>644</v>
      </c>
      <c r="N28" s="42" t="s">
        <v>456</v>
      </c>
      <c r="O28" s="42"/>
      <c r="P28" s="42" t="s">
        <v>382</v>
      </c>
      <c r="Q28" s="42" t="s">
        <v>456</v>
      </c>
      <c r="R28" s="42" t="s">
        <v>456</v>
      </c>
      <c r="S28" s="42" t="s">
        <v>456</v>
      </c>
      <c r="T28" s="42" t="s">
        <v>352</v>
      </c>
      <c r="U28" s="42" t="s">
        <v>456</v>
      </c>
      <c r="V28" s="42" t="s">
        <v>456</v>
      </c>
      <c r="W28" s="42" t="s">
        <v>530</v>
      </c>
      <c r="X28" s="42" t="s">
        <v>531</v>
      </c>
      <c r="Y28" s="42" t="s">
        <v>532</v>
      </c>
      <c r="Z28" s="42" t="s">
        <v>456</v>
      </c>
      <c r="AA28" s="42" t="s">
        <v>456</v>
      </c>
    </row>
    <row r="29" spans="2:27" x14ac:dyDescent="0.2">
      <c r="B29" s="42" t="s">
        <v>309</v>
      </c>
      <c r="C29" s="42">
        <v>31436156</v>
      </c>
      <c r="D29" s="42" t="s">
        <v>403</v>
      </c>
      <c r="E29" s="42" t="s">
        <v>521</v>
      </c>
      <c r="F29" s="42" t="s">
        <v>485</v>
      </c>
      <c r="G29" s="42" t="s">
        <v>352</v>
      </c>
      <c r="H29" s="45" t="s">
        <v>522</v>
      </c>
      <c r="I29" s="42" t="s">
        <v>352</v>
      </c>
      <c r="J29" s="42" t="s">
        <v>523</v>
      </c>
      <c r="K29" s="42" t="s">
        <v>456</v>
      </c>
      <c r="L29" s="42" t="s">
        <v>456</v>
      </c>
      <c r="M29" s="42" t="s">
        <v>510</v>
      </c>
      <c r="N29" s="42" t="s">
        <v>456</v>
      </c>
      <c r="O29" s="42"/>
      <c r="P29" s="42" t="s">
        <v>382</v>
      </c>
      <c r="Q29" s="42" t="s">
        <v>456</v>
      </c>
      <c r="R29" s="42" t="s">
        <v>456</v>
      </c>
      <c r="S29" s="42" t="s">
        <v>456</v>
      </c>
      <c r="T29" s="42" t="s">
        <v>352</v>
      </c>
      <c r="U29" s="42" t="s">
        <v>456</v>
      </c>
      <c r="V29" s="42" t="s">
        <v>456</v>
      </c>
      <c r="W29" s="42" t="s">
        <v>533</v>
      </c>
      <c r="X29" s="42" t="s">
        <v>534</v>
      </c>
      <c r="Y29" s="42" t="s">
        <v>535</v>
      </c>
      <c r="Z29" s="42" t="s">
        <v>456</v>
      </c>
      <c r="AA29" s="42" t="s">
        <v>456</v>
      </c>
    </row>
    <row r="30" spans="2:27" x14ac:dyDescent="0.2">
      <c r="B30" s="42" t="s">
        <v>309</v>
      </c>
      <c r="C30" s="42">
        <v>31436156</v>
      </c>
      <c r="D30" s="42" t="s">
        <v>403</v>
      </c>
      <c r="E30" s="42" t="s">
        <v>521</v>
      </c>
      <c r="F30" s="42" t="s">
        <v>486</v>
      </c>
      <c r="G30" s="42" t="s">
        <v>352</v>
      </c>
      <c r="H30" s="46" t="s">
        <v>522</v>
      </c>
      <c r="I30" s="42" t="s">
        <v>352</v>
      </c>
      <c r="J30" s="42" t="s">
        <v>523</v>
      </c>
      <c r="K30" s="42" t="s">
        <v>456</v>
      </c>
      <c r="L30" s="42" t="s">
        <v>456</v>
      </c>
      <c r="M30" s="42" t="s">
        <v>514</v>
      </c>
      <c r="N30" s="42" t="s">
        <v>456</v>
      </c>
      <c r="O30" s="42"/>
      <c r="P30" s="42" t="s">
        <v>382</v>
      </c>
      <c r="Q30" s="42" t="s">
        <v>456</v>
      </c>
      <c r="R30" s="42" t="s">
        <v>456</v>
      </c>
      <c r="S30" s="42" t="s">
        <v>456</v>
      </c>
      <c r="T30" s="42" t="s">
        <v>352</v>
      </c>
      <c r="U30" s="42" t="s">
        <v>536</v>
      </c>
      <c r="V30" s="42" t="s">
        <v>537</v>
      </c>
      <c r="W30" s="42" t="s">
        <v>456</v>
      </c>
      <c r="X30" s="42" t="s">
        <v>456</v>
      </c>
      <c r="Y30" s="42" t="s">
        <v>456</v>
      </c>
      <c r="Z30" s="42" t="s">
        <v>456</v>
      </c>
      <c r="AA30" s="42" t="s">
        <v>456</v>
      </c>
    </row>
    <row r="31" spans="2:27" x14ac:dyDescent="0.2">
      <c r="B31" s="42" t="s">
        <v>309</v>
      </c>
      <c r="C31" s="42">
        <v>31436156</v>
      </c>
      <c r="D31" s="45" t="s">
        <v>403</v>
      </c>
      <c r="E31" s="45" t="s">
        <v>521</v>
      </c>
      <c r="F31" s="42" t="s">
        <v>487</v>
      </c>
      <c r="G31" s="42" t="s">
        <v>352</v>
      </c>
      <c r="H31" s="45" t="s">
        <v>522</v>
      </c>
      <c r="I31" s="42" t="s">
        <v>352</v>
      </c>
      <c r="J31" s="42" t="s">
        <v>523</v>
      </c>
      <c r="K31" s="42" t="s">
        <v>456</v>
      </c>
      <c r="L31" s="42" t="s">
        <v>456</v>
      </c>
      <c r="M31" s="42" t="s">
        <v>514</v>
      </c>
      <c r="N31" s="42" t="s">
        <v>456</v>
      </c>
      <c r="O31" s="42"/>
      <c r="P31" s="42" t="s">
        <v>382</v>
      </c>
      <c r="Q31" s="42" t="s">
        <v>456</v>
      </c>
      <c r="R31" s="42" t="s">
        <v>456</v>
      </c>
      <c r="S31" s="42" t="s">
        <v>456</v>
      </c>
      <c r="T31" s="42" t="s">
        <v>352</v>
      </c>
      <c r="U31" s="42" t="s">
        <v>538</v>
      </c>
      <c r="V31" s="42" t="s">
        <v>539</v>
      </c>
      <c r="W31" s="42" t="s">
        <v>456</v>
      </c>
      <c r="X31" s="42" t="s">
        <v>456</v>
      </c>
      <c r="Y31" s="42" t="s">
        <v>456</v>
      </c>
      <c r="Z31" s="42" t="s">
        <v>456</v>
      </c>
      <c r="AA31" s="42" t="s">
        <v>456</v>
      </c>
    </row>
    <row r="32" spans="2:27" x14ac:dyDescent="0.2">
      <c r="B32" s="42" t="s">
        <v>253</v>
      </c>
      <c r="C32" s="42">
        <v>27645786</v>
      </c>
      <c r="D32" s="42" t="s">
        <v>418</v>
      </c>
      <c r="E32" s="42" t="s">
        <v>456</v>
      </c>
      <c r="F32" s="42" t="s">
        <v>399</v>
      </c>
      <c r="G32" s="42" t="s">
        <v>352</v>
      </c>
      <c r="H32" s="42" t="s">
        <v>581</v>
      </c>
      <c r="I32" s="42" t="s">
        <v>382</v>
      </c>
      <c r="J32" s="42"/>
      <c r="K32" s="42" t="s">
        <v>456</v>
      </c>
      <c r="L32" s="42" t="s">
        <v>456</v>
      </c>
      <c r="M32" s="42" t="s">
        <v>465</v>
      </c>
      <c r="N32" s="42" t="s">
        <v>456</v>
      </c>
      <c r="O32" s="42"/>
      <c r="P32" s="42" t="s">
        <v>352</v>
      </c>
      <c r="Q32" s="42" t="s">
        <v>457</v>
      </c>
      <c r="R32" s="42" t="s">
        <v>584</v>
      </c>
      <c r="S32" s="42" t="s">
        <v>582</v>
      </c>
      <c r="T32" s="42" t="s">
        <v>382</v>
      </c>
      <c r="U32" s="42" t="s">
        <v>456</v>
      </c>
      <c r="V32" s="42" t="s">
        <v>456</v>
      </c>
      <c r="W32" s="42" t="s">
        <v>456</v>
      </c>
      <c r="X32" s="42" t="s">
        <v>456</v>
      </c>
      <c r="Y32" s="42" t="s">
        <v>456</v>
      </c>
      <c r="Z32" s="42" t="s">
        <v>456</v>
      </c>
      <c r="AA32" s="42" t="s">
        <v>456</v>
      </c>
    </row>
    <row r="33" spans="2:27" x14ac:dyDescent="0.2">
      <c r="B33" s="42" t="s">
        <v>253</v>
      </c>
      <c r="C33" s="42">
        <v>27645786</v>
      </c>
      <c r="D33" s="42" t="s">
        <v>418</v>
      </c>
      <c r="E33" s="42" t="s">
        <v>456</v>
      </c>
      <c r="F33" s="42" t="s">
        <v>400</v>
      </c>
      <c r="G33" s="42" t="s">
        <v>352</v>
      </c>
      <c r="H33" s="42" t="s">
        <v>581</v>
      </c>
      <c r="I33" s="42" t="s">
        <v>382</v>
      </c>
      <c r="J33" s="42"/>
      <c r="K33" s="42" t="s">
        <v>456</v>
      </c>
      <c r="L33" s="42" t="s">
        <v>456</v>
      </c>
      <c r="M33" s="42" t="s">
        <v>439</v>
      </c>
      <c r="N33" s="42" t="s">
        <v>352</v>
      </c>
      <c r="O33" s="42" t="s">
        <v>585</v>
      </c>
      <c r="P33" s="42" t="s">
        <v>352</v>
      </c>
      <c r="Q33" s="42" t="s">
        <v>586</v>
      </c>
      <c r="R33" s="42" t="s">
        <v>587</v>
      </c>
      <c r="S33" s="42" t="s">
        <v>588</v>
      </c>
      <c r="T33" s="42" t="s">
        <v>382</v>
      </c>
      <c r="U33" s="42" t="s">
        <v>456</v>
      </c>
      <c r="V33" s="42" t="s">
        <v>456</v>
      </c>
      <c r="W33" s="42" t="s">
        <v>456</v>
      </c>
      <c r="X33" s="42" t="s">
        <v>456</v>
      </c>
      <c r="Y33" s="42" t="s">
        <v>456</v>
      </c>
      <c r="Z33" s="42" t="s">
        <v>456</v>
      </c>
      <c r="AA33" s="42" t="s">
        <v>456</v>
      </c>
    </row>
    <row r="34" spans="2:27" x14ac:dyDescent="0.2">
      <c r="B34" s="42" t="s">
        <v>253</v>
      </c>
      <c r="C34" s="42">
        <v>27645786</v>
      </c>
      <c r="D34" s="42" t="s">
        <v>418</v>
      </c>
      <c r="E34" s="42" t="s">
        <v>589</v>
      </c>
      <c r="F34" s="42" t="s">
        <v>444</v>
      </c>
      <c r="G34" s="42" t="s">
        <v>382</v>
      </c>
      <c r="H34" s="42"/>
      <c r="I34" s="42"/>
      <c r="J34" s="42" t="s">
        <v>591</v>
      </c>
      <c r="K34" s="42" t="s">
        <v>456</v>
      </c>
      <c r="L34" s="42"/>
      <c r="M34" s="42" t="s">
        <v>497</v>
      </c>
      <c r="N34" s="42" t="s">
        <v>456</v>
      </c>
      <c r="O34" s="42"/>
      <c r="P34" s="42" t="s">
        <v>382</v>
      </c>
      <c r="Q34" s="42"/>
      <c r="R34" s="42"/>
      <c r="S34" s="42"/>
      <c r="T34" s="42" t="s">
        <v>352</v>
      </c>
      <c r="U34" s="42" t="s">
        <v>592</v>
      </c>
      <c r="V34" s="42" t="s">
        <v>456</v>
      </c>
      <c r="W34" s="42" t="s">
        <v>456</v>
      </c>
      <c r="X34" s="42" t="s">
        <v>456</v>
      </c>
      <c r="Y34" s="42" t="s">
        <v>456</v>
      </c>
      <c r="Z34" s="42" t="s">
        <v>456</v>
      </c>
      <c r="AA34" s="42" t="s">
        <v>456</v>
      </c>
    </row>
    <row r="35" spans="2:27" x14ac:dyDescent="0.2">
      <c r="B35" s="42" t="s">
        <v>253</v>
      </c>
      <c r="C35" s="42">
        <v>27645786</v>
      </c>
      <c r="D35" s="45" t="s">
        <v>403</v>
      </c>
      <c r="E35" s="42" t="s">
        <v>590</v>
      </c>
      <c r="F35" s="42" t="s">
        <v>444</v>
      </c>
      <c r="G35" s="42" t="s">
        <v>382</v>
      </c>
      <c r="H35" s="42"/>
      <c r="I35" s="42"/>
      <c r="J35" s="42" t="s">
        <v>591</v>
      </c>
      <c r="K35" s="42" t="s">
        <v>456</v>
      </c>
      <c r="L35" s="42"/>
      <c r="M35" s="42" t="s">
        <v>497</v>
      </c>
      <c r="N35" s="42" t="s">
        <v>456</v>
      </c>
      <c r="O35" s="42"/>
      <c r="P35" s="42" t="s">
        <v>382</v>
      </c>
      <c r="Q35" s="42"/>
      <c r="R35" s="42"/>
      <c r="S35" s="42"/>
      <c r="T35" s="42" t="s">
        <v>352</v>
      </c>
      <c r="U35" s="42" t="s">
        <v>593</v>
      </c>
      <c r="V35" s="42" t="s">
        <v>456</v>
      </c>
      <c r="W35" s="42" t="s">
        <v>456</v>
      </c>
      <c r="X35" s="42" t="s">
        <v>456</v>
      </c>
      <c r="Y35" s="42" t="s">
        <v>456</v>
      </c>
      <c r="Z35" s="42" t="s">
        <v>456</v>
      </c>
      <c r="AA35" s="42" t="s">
        <v>456</v>
      </c>
    </row>
    <row r="36" spans="2:27" x14ac:dyDescent="0.2">
      <c r="B36" s="42" t="s">
        <v>253</v>
      </c>
      <c r="C36" s="42">
        <v>27645786</v>
      </c>
      <c r="D36" s="42" t="s">
        <v>418</v>
      </c>
      <c r="E36" s="42" t="s">
        <v>589</v>
      </c>
      <c r="F36" s="42" t="s">
        <v>445</v>
      </c>
      <c r="G36" s="42" t="s">
        <v>382</v>
      </c>
      <c r="H36" s="42"/>
      <c r="I36" s="42"/>
      <c r="J36" s="42" t="s">
        <v>591</v>
      </c>
      <c r="K36" s="42" t="s">
        <v>456</v>
      </c>
      <c r="L36" s="42"/>
      <c r="M36" s="42" t="s">
        <v>497</v>
      </c>
      <c r="N36" s="42" t="s">
        <v>456</v>
      </c>
      <c r="O36" s="42"/>
      <c r="P36" s="42" t="s">
        <v>382</v>
      </c>
      <c r="Q36" s="42"/>
      <c r="R36" s="42"/>
      <c r="S36" s="42"/>
      <c r="T36" s="42" t="s">
        <v>352</v>
      </c>
      <c r="U36" s="42" t="s">
        <v>594</v>
      </c>
      <c r="V36" s="42" t="s">
        <v>456</v>
      </c>
      <c r="W36" s="42" t="s">
        <v>456</v>
      </c>
      <c r="X36" s="42" t="s">
        <v>456</v>
      </c>
      <c r="Y36" s="42" t="s">
        <v>456</v>
      </c>
      <c r="Z36" s="42" t="s">
        <v>456</v>
      </c>
      <c r="AA36" s="42" t="s">
        <v>456</v>
      </c>
    </row>
    <row r="37" spans="2:27" x14ac:dyDescent="0.2">
      <c r="B37" s="42" t="s">
        <v>253</v>
      </c>
      <c r="C37" s="42">
        <v>27645786</v>
      </c>
      <c r="D37" s="45" t="s">
        <v>403</v>
      </c>
      <c r="E37" s="42" t="s">
        <v>590</v>
      </c>
      <c r="F37" s="42" t="s">
        <v>444</v>
      </c>
      <c r="G37" s="42" t="s">
        <v>382</v>
      </c>
      <c r="H37" s="42"/>
      <c r="I37" s="42"/>
      <c r="J37" s="42" t="s">
        <v>591</v>
      </c>
      <c r="K37" s="42" t="s">
        <v>456</v>
      </c>
      <c r="L37" s="42"/>
      <c r="M37" s="42" t="s">
        <v>497</v>
      </c>
      <c r="N37" s="42" t="s">
        <v>456</v>
      </c>
      <c r="O37" s="42"/>
      <c r="P37" s="42" t="s">
        <v>382</v>
      </c>
      <c r="Q37" s="42"/>
      <c r="R37" s="42"/>
      <c r="S37" s="42"/>
      <c r="T37" s="42" t="s">
        <v>352</v>
      </c>
      <c r="U37" s="42" t="s">
        <v>595</v>
      </c>
      <c r="V37" s="42" t="s">
        <v>456</v>
      </c>
      <c r="W37" s="42" t="s">
        <v>456</v>
      </c>
      <c r="X37" s="42" t="s">
        <v>456</v>
      </c>
      <c r="Y37" s="42" t="s">
        <v>456</v>
      </c>
      <c r="Z37" s="42" t="s">
        <v>456</v>
      </c>
      <c r="AA37" s="42" t="s">
        <v>456</v>
      </c>
    </row>
    <row r="38" spans="2:27" x14ac:dyDescent="0.2">
      <c r="B38" s="42" t="s">
        <v>253</v>
      </c>
      <c r="C38" s="42">
        <v>27645786</v>
      </c>
      <c r="D38" s="42" t="s">
        <v>418</v>
      </c>
      <c r="E38" s="42" t="s">
        <v>589</v>
      </c>
      <c r="F38" s="42" t="s">
        <v>596</v>
      </c>
      <c r="G38" s="42" t="s">
        <v>382</v>
      </c>
      <c r="H38" s="42"/>
      <c r="I38" s="42"/>
      <c r="J38" s="42" t="s">
        <v>591</v>
      </c>
      <c r="K38" s="42"/>
      <c r="L38" s="42"/>
      <c r="M38" s="42" t="s">
        <v>456</v>
      </c>
      <c r="N38" s="42" t="s">
        <v>352</v>
      </c>
      <c r="O38" s="42" t="s">
        <v>597</v>
      </c>
      <c r="P38" s="42" t="s">
        <v>382</v>
      </c>
      <c r="Q38" s="42"/>
      <c r="R38" s="42"/>
      <c r="S38" s="42"/>
      <c r="T38" s="42" t="s">
        <v>382</v>
      </c>
      <c r="U38" s="42"/>
      <c r="V38" s="42"/>
      <c r="W38" s="42"/>
      <c r="X38" s="42"/>
      <c r="Y38" s="42"/>
      <c r="Z38" s="42"/>
      <c r="AA38" s="42"/>
    </row>
    <row r="39" spans="2:27" x14ac:dyDescent="0.2">
      <c r="B39" s="42" t="s">
        <v>253</v>
      </c>
      <c r="C39" s="42">
        <v>27645786</v>
      </c>
      <c r="D39" s="42" t="s">
        <v>418</v>
      </c>
      <c r="E39" s="42" t="s">
        <v>590</v>
      </c>
      <c r="F39" s="42" t="s">
        <v>596</v>
      </c>
      <c r="G39" s="42" t="s">
        <v>382</v>
      </c>
      <c r="H39" s="42"/>
      <c r="I39" s="42"/>
      <c r="J39" s="42" t="s">
        <v>591</v>
      </c>
      <c r="K39" s="42"/>
      <c r="L39" s="42"/>
      <c r="M39" s="42" t="s">
        <v>456</v>
      </c>
      <c r="N39" s="42" t="s">
        <v>352</v>
      </c>
      <c r="O39" s="42" t="s">
        <v>597</v>
      </c>
      <c r="P39" s="42" t="s">
        <v>382</v>
      </c>
      <c r="Q39" s="42"/>
      <c r="R39" s="42"/>
      <c r="S39" s="42"/>
      <c r="T39" s="42" t="s">
        <v>382</v>
      </c>
      <c r="U39" s="42"/>
      <c r="V39" s="42"/>
      <c r="W39" s="42"/>
      <c r="X39" s="42"/>
      <c r="Y39" s="42"/>
      <c r="Z39" s="42"/>
      <c r="AA39" s="42"/>
    </row>
    <row r="40" spans="2:27" x14ac:dyDescent="0.2">
      <c r="B40" s="42" t="s">
        <v>340</v>
      </c>
      <c r="C40" s="42">
        <v>21255828</v>
      </c>
      <c r="D40" s="42" t="s">
        <v>418</v>
      </c>
      <c r="E40" s="42" t="s">
        <v>614</v>
      </c>
      <c r="F40" s="42" t="s">
        <v>416</v>
      </c>
      <c r="G40" s="42" t="s">
        <v>352</v>
      </c>
      <c r="H40" s="42" t="s">
        <v>611</v>
      </c>
      <c r="I40" s="42" t="s">
        <v>382</v>
      </c>
      <c r="J40" s="42"/>
      <c r="K40" s="42" t="s">
        <v>612</v>
      </c>
      <c r="L40" s="42" t="s">
        <v>456</v>
      </c>
      <c r="M40" s="42"/>
      <c r="N40" s="42" t="s">
        <v>352</v>
      </c>
      <c r="O40" s="42"/>
      <c r="P40" s="42" t="s">
        <v>352</v>
      </c>
      <c r="Q40" s="42" t="s">
        <v>352</v>
      </c>
      <c r="R40" s="42" t="s">
        <v>613</v>
      </c>
      <c r="S40" s="42"/>
      <c r="T40" s="42" t="s">
        <v>382</v>
      </c>
      <c r="U40" s="42"/>
      <c r="V40" s="42"/>
      <c r="W40" s="42"/>
      <c r="X40" s="42"/>
      <c r="Y40" s="42"/>
      <c r="Z40" s="42"/>
      <c r="AA40" s="42"/>
    </row>
    <row r="41" spans="2:27" x14ac:dyDescent="0.2">
      <c r="B41" s="42" t="s">
        <v>340</v>
      </c>
      <c r="C41" s="42">
        <v>21255828</v>
      </c>
      <c r="D41" s="42" t="s">
        <v>418</v>
      </c>
      <c r="E41" s="42" t="s">
        <v>614</v>
      </c>
      <c r="F41" s="42" t="s">
        <v>400</v>
      </c>
      <c r="G41" s="42" t="s">
        <v>352</v>
      </c>
      <c r="H41" s="42" t="s">
        <v>611</v>
      </c>
      <c r="I41" s="42" t="s">
        <v>382</v>
      </c>
      <c r="J41" s="42"/>
      <c r="K41" s="42"/>
      <c r="L41" s="42" t="s">
        <v>456</v>
      </c>
      <c r="M41" s="42" t="s">
        <v>439</v>
      </c>
      <c r="N41" s="42" t="s">
        <v>382</v>
      </c>
      <c r="O41" s="42" t="s">
        <v>627</v>
      </c>
      <c r="P41" s="42" t="s">
        <v>352</v>
      </c>
      <c r="Q41" s="42" t="s">
        <v>615</v>
      </c>
      <c r="R41" s="42" t="s">
        <v>616</v>
      </c>
      <c r="S41" s="42" t="s">
        <v>621</v>
      </c>
      <c r="T41" s="42" t="s">
        <v>352</v>
      </c>
      <c r="U41" s="42" t="s">
        <v>617</v>
      </c>
      <c r="V41" s="42" t="s">
        <v>618</v>
      </c>
      <c r="W41" s="42" t="s">
        <v>456</v>
      </c>
      <c r="X41" s="42" t="s">
        <v>456</v>
      </c>
      <c r="Y41" s="42" t="s">
        <v>456</v>
      </c>
      <c r="Z41" s="42" t="s">
        <v>520</v>
      </c>
      <c r="AA41" s="42" t="s">
        <v>479</v>
      </c>
    </row>
    <row r="42" spans="2:27" ht="17" customHeight="1" x14ac:dyDescent="0.2">
      <c r="B42" s="42" t="s">
        <v>340</v>
      </c>
      <c r="C42" s="42">
        <v>21255828</v>
      </c>
      <c r="D42" s="42" t="s">
        <v>418</v>
      </c>
      <c r="E42" s="42" t="s">
        <v>614</v>
      </c>
      <c r="F42" s="42" t="s">
        <v>399</v>
      </c>
      <c r="G42" s="42" t="s">
        <v>352</v>
      </c>
      <c r="H42" s="42" t="s">
        <v>611</v>
      </c>
      <c r="I42" s="42" t="s">
        <v>382</v>
      </c>
      <c r="J42" s="42"/>
      <c r="K42" s="42"/>
      <c r="L42" s="42"/>
      <c r="M42" s="42"/>
      <c r="N42" s="42" t="s">
        <v>382</v>
      </c>
      <c r="O42" s="42"/>
      <c r="P42" s="42" t="s">
        <v>352</v>
      </c>
      <c r="Q42" s="42" t="s">
        <v>457</v>
      </c>
      <c r="R42" s="42" t="s">
        <v>619</v>
      </c>
      <c r="S42" s="42" t="s">
        <v>620</v>
      </c>
      <c r="T42" s="42" t="s">
        <v>382</v>
      </c>
      <c r="U42" s="42"/>
      <c r="V42" s="42"/>
      <c r="W42" s="42"/>
      <c r="X42" s="42"/>
      <c r="Y42" s="42"/>
      <c r="Z42" s="42"/>
      <c r="AA42" s="42"/>
    </row>
    <row r="43" spans="2:27" x14ac:dyDescent="0.2">
      <c r="B43" s="42" t="s">
        <v>340</v>
      </c>
      <c r="C43" s="42">
        <v>21255828</v>
      </c>
      <c r="D43" s="42" t="s">
        <v>622</v>
      </c>
      <c r="E43" s="42" t="s">
        <v>614</v>
      </c>
      <c r="F43" s="42" t="s">
        <v>623</v>
      </c>
      <c r="G43" s="42" t="s">
        <v>352</v>
      </c>
      <c r="H43" s="42" t="s">
        <v>611</v>
      </c>
      <c r="I43" s="42" t="s">
        <v>382</v>
      </c>
      <c r="J43" s="42"/>
      <c r="K43" s="42" t="s">
        <v>625</v>
      </c>
      <c r="L43" s="42"/>
      <c r="M43" s="42" t="s">
        <v>626</v>
      </c>
      <c r="N43" s="42" t="s">
        <v>382</v>
      </c>
      <c r="O43" s="42" t="s">
        <v>627</v>
      </c>
      <c r="P43" s="42" t="s">
        <v>382</v>
      </c>
      <c r="Q43" s="42"/>
      <c r="R43" s="42"/>
      <c r="S43" s="42"/>
      <c r="T43" s="42" t="s">
        <v>352</v>
      </c>
      <c r="U43" s="42" t="s">
        <v>628</v>
      </c>
      <c r="V43" s="42" t="s">
        <v>618</v>
      </c>
      <c r="W43" s="42"/>
      <c r="X43" s="42"/>
      <c r="Y43" s="42"/>
      <c r="Z43" s="42"/>
      <c r="AA43" s="42"/>
    </row>
    <row r="44" spans="2:27" x14ac:dyDescent="0.2">
      <c r="B44" s="42" t="s">
        <v>340</v>
      </c>
      <c r="C44" s="42">
        <v>21255828</v>
      </c>
      <c r="D44" s="42" t="s">
        <v>418</v>
      </c>
      <c r="E44" s="42" t="s">
        <v>614</v>
      </c>
      <c r="F44" s="42" t="s">
        <v>415</v>
      </c>
      <c r="G44" s="42" t="s">
        <v>352</v>
      </c>
      <c r="H44" s="42" t="s">
        <v>611</v>
      </c>
      <c r="I44" s="42" t="s">
        <v>382</v>
      </c>
      <c r="J44" s="42"/>
      <c r="K44" s="42"/>
      <c r="L44" s="42"/>
      <c r="M44" s="42" t="s">
        <v>460</v>
      </c>
      <c r="N44" s="42" t="s">
        <v>382</v>
      </c>
      <c r="O44" s="42" t="s">
        <v>627</v>
      </c>
      <c r="P44" s="42" t="s">
        <v>382</v>
      </c>
      <c r="Q44" s="42"/>
      <c r="R44" s="42"/>
      <c r="S44" s="42"/>
      <c r="T44" s="42" t="s">
        <v>352</v>
      </c>
      <c r="U44" s="42" t="s">
        <v>629</v>
      </c>
      <c r="V44" s="42" t="s">
        <v>618</v>
      </c>
      <c r="W44" s="42"/>
      <c r="X44" s="42"/>
      <c r="Y44" s="42"/>
      <c r="Z44" s="42"/>
      <c r="AA44" s="42"/>
    </row>
    <row r="45" spans="2:27" x14ac:dyDescent="0.2">
      <c r="B45" s="42" t="s">
        <v>340</v>
      </c>
      <c r="C45" s="42">
        <v>21255828</v>
      </c>
      <c r="D45" s="42" t="s">
        <v>418</v>
      </c>
      <c r="E45" s="42" t="s">
        <v>614</v>
      </c>
      <c r="F45" s="42" t="s">
        <v>444</v>
      </c>
      <c r="G45" s="42" t="s">
        <v>352</v>
      </c>
      <c r="H45" s="42" t="s">
        <v>611</v>
      </c>
      <c r="I45" s="42" t="s">
        <v>382</v>
      </c>
      <c r="J45" s="42"/>
      <c r="K45" s="42" t="s">
        <v>630</v>
      </c>
      <c r="L45" s="42"/>
      <c r="M45" s="42" t="s">
        <v>497</v>
      </c>
      <c r="N45" s="42" t="s">
        <v>382</v>
      </c>
      <c r="O45" s="42" t="s">
        <v>627</v>
      </c>
      <c r="P45" s="42" t="s">
        <v>382</v>
      </c>
      <c r="Q45" s="42"/>
      <c r="R45" s="42"/>
      <c r="S45" s="42"/>
      <c r="T45" s="42" t="s">
        <v>352</v>
      </c>
      <c r="U45" s="42" t="s">
        <v>631</v>
      </c>
      <c r="V45" s="42" t="s">
        <v>618</v>
      </c>
      <c r="W45" s="42"/>
      <c r="X45" s="42"/>
      <c r="Y45" s="42"/>
      <c r="Z45" s="42"/>
      <c r="AA45" s="42"/>
    </row>
    <row r="46" spans="2:27" x14ac:dyDescent="0.2">
      <c r="B46" s="42" t="s">
        <v>340</v>
      </c>
      <c r="C46" s="42">
        <v>21255828</v>
      </c>
      <c r="D46" s="42" t="s">
        <v>418</v>
      </c>
      <c r="E46" s="42" t="s">
        <v>614</v>
      </c>
      <c r="F46" s="42" t="s">
        <v>485</v>
      </c>
      <c r="G46" s="42" t="s">
        <v>352</v>
      </c>
      <c r="H46" s="42" t="s">
        <v>611</v>
      </c>
      <c r="I46" s="42" t="s">
        <v>382</v>
      </c>
      <c r="J46" s="42"/>
      <c r="K46" s="42"/>
      <c r="L46" s="42"/>
      <c r="M46" s="42" t="s">
        <v>632</v>
      </c>
      <c r="N46" s="42" t="s">
        <v>382</v>
      </c>
      <c r="O46" s="42" t="s">
        <v>627</v>
      </c>
      <c r="P46" s="42" t="s">
        <v>382</v>
      </c>
      <c r="Q46" s="42"/>
      <c r="R46" s="42"/>
      <c r="S46" s="49"/>
      <c r="T46" s="42" t="s">
        <v>352</v>
      </c>
      <c r="U46" s="42" t="s">
        <v>633</v>
      </c>
      <c r="V46" s="42" t="s">
        <v>618</v>
      </c>
      <c r="W46" s="42"/>
      <c r="X46" s="42"/>
      <c r="Y46" s="42"/>
      <c r="Z46" s="42"/>
      <c r="AA46" s="42"/>
    </row>
    <row r="47" spans="2:27" x14ac:dyDescent="0.2">
      <c r="B47" s="42" t="s">
        <v>340</v>
      </c>
      <c r="C47" s="42">
        <v>21255828</v>
      </c>
      <c r="D47" s="42" t="s">
        <v>418</v>
      </c>
      <c r="E47" s="42" t="s">
        <v>614</v>
      </c>
      <c r="F47" s="42" t="s">
        <v>487</v>
      </c>
      <c r="G47" s="42" t="s">
        <v>352</v>
      </c>
      <c r="H47" s="42" t="s">
        <v>611</v>
      </c>
      <c r="I47" s="42" t="s">
        <v>382</v>
      </c>
      <c r="J47" s="42"/>
      <c r="K47" s="42"/>
      <c r="L47" s="42"/>
      <c r="M47" t="s">
        <v>634</v>
      </c>
      <c r="N47" s="42" t="s">
        <v>382</v>
      </c>
      <c r="O47" s="42" t="s">
        <v>635</v>
      </c>
      <c r="P47" s="42" t="s">
        <v>382</v>
      </c>
      <c r="Q47" s="42"/>
      <c r="R47" s="42"/>
      <c r="S47" s="42"/>
      <c r="T47" s="42" t="s">
        <v>352</v>
      </c>
      <c r="U47" s="42" t="s">
        <v>456</v>
      </c>
      <c r="V47" s="42" t="s">
        <v>456</v>
      </c>
      <c r="W47" s="42" t="s">
        <v>636</v>
      </c>
      <c r="X47" s="42"/>
      <c r="Y47" s="42"/>
      <c r="Z47" s="42"/>
      <c r="AA47" s="42"/>
    </row>
    <row r="48" spans="2:27" x14ac:dyDescent="0.2">
      <c r="B48" s="42" t="s">
        <v>340</v>
      </c>
      <c r="C48" s="42">
        <v>21255828</v>
      </c>
      <c r="D48" s="42" t="s">
        <v>418</v>
      </c>
      <c r="E48" s="42" t="s">
        <v>614</v>
      </c>
      <c r="F48" s="42" t="s">
        <v>486</v>
      </c>
      <c r="G48" s="42" t="s">
        <v>352</v>
      </c>
      <c r="H48" s="42" t="s">
        <v>611</v>
      </c>
      <c r="I48" s="42" t="s">
        <v>382</v>
      </c>
      <c r="J48" s="42"/>
      <c r="K48" s="42"/>
      <c r="L48" s="42"/>
      <c r="M48" t="s">
        <v>634</v>
      </c>
      <c r="N48" s="42" t="s">
        <v>382</v>
      </c>
      <c r="O48" s="42" t="s">
        <v>635</v>
      </c>
      <c r="P48" s="42" t="s">
        <v>382</v>
      </c>
      <c r="Q48" s="42"/>
      <c r="R48" s="42"/>
      <c r="S48" s="42"/>
      <c r="T48" s="42" t="s">
        <v>352</v>
      </c>
      <c r="U48" s="42" t="s">
        <v>456</v>
      </c>
      <c r="V48" s="42" t="s">
        <v>456</v>
      </c>
      <c r="W48" s="42" t="s">
        <v>637</v>
      </c>
      <c r="X48" s="42"/>
      <c r="Y48" s="42"/>
      <c r="Z48" s="42"/>
      <c r="AA48" s="42"/>
    </row>
    <row r="49" spans="2:27" x14ac:dyDescent="0.2">
      <c r="B49" s="42" t="s">
        <v>340</v>
      </c>
      <c r="C49" s="42">
        <v>21255828</v>
      </c>
      <c r="D49" s="42" t="s">
        <v>418</v>
      </c>
      <c r="E49" s="42" t="s">
        <v>614</v>
      </c>
      <c r="F49" s="42" t="s">
        <v>482</v>
      </c>
      <c r="G49" s="42" t="s">
        <v>352</v>
      </c>
      <c r="H49" s="42" t="s">
        <v>611</v>
      </c>
      <c r="I49" s="42" t="s">
        <v>382</v>
      </c>
      <c r="J49" s="42"/>
      <c r="K49" s="42"/>
      <c r="L49" s="42"/>
      <c r="M49" s="42" t="s">
        <v>638</v>
      </c>
      <c r="N49" s="42" t="s">
        <v>382</v>
      </c>
      <c r="O49" s="42" t="s">
        <v>627</v>
      </c>
      <c r="P49" s="42" t="s">
        <v>382</v>
      </c>
      <c r="Q49" s="42"/>
      <c r="R49" s="42"/>
      <c r="S49" s="42"/>
      <c r="T49" s="42" t="s">
        <v>352</v>
      </c>
      <c r="U49" s="42"/>
      <c r="V49" s="42"/>
      <c r="W49" s="42" t="s">
        <v>639</v>
      </c>
      <c r="X49" s="42"/>
      <c r="Y49" s="42"/>
      <c r="Z49" s="42"/>
      <c r="AA49" s="42"/>
    </row>
    <row r="50" spans="2:27" x14ac:dyDescent="0.2">
      <c r="B50" s="42" t="s">
        <v>340</v>
      </c>
      <c r="C50" s="42">
        <v>21255828</v>
      </c>
      <c r="D50" s="42" t="s">
        <v>418</v>
      </c>
      <c r="E50" s="42" t="s">
        <v>614</v>
      </c>
      <c r="F50" s="42" t="s">
        <v>640</v>
      </c>
      <c r="G50" s="42" t="s">
        <v>352</v>
      </c>
      <c r="H50" s="42" t="s">
        <v>611</v>
      </c>
      <c r="I50" s="42" t="s">
        <v>382</v>
      </c>
      <c r="J50" s="42"/>
      <c r="K50" s="42"/>
      <c r="L50" s="42"/>
      <c r="M50" s="42" t="s">
        <v>641</v>
      </c>
      <c r="N50" s="42" t="s">
        <v>382</v>
      </c>
      <c r="O50" s="42" t="s">
        <v>627</v>
      </c>
      <c r="P50" s="42" t="s">
        <v>382</v>
      </c>
      <c r="Q50" s="42"/>
      <c r="R50" s="42"/>
      <c r="S50" s="42"/>
      <c r="T50" s="42" t="s">
        <v>352</v>
      </c>
      <c r="U50" s="42" t="s">
        <v>642</v>
      </c>
      <c r="V50" s="42" t="s">
        <v>618</v>
      </c>
      <c r="W50" s="42"/>
      <c r="X50" s="42"/>
      <c r="Y50" s="42"/>
      <c r="Z50" s="42"/>
      <c r="AA50" s="42"/>
    </row>
    <row r="51" spans="2:27" x14ac:dyDescent="0.2">
      <c r="B51" s="42" t="s">
        <v>340</v>
      </c>
      <c r="C51" s="42">
        <v>21255828</v>
      </c>
      <c r="D51" s="42" t="s">
        <v>418</v>
      </c>
      <c r="E51" s="42" t="s">
        <v>614</v>
      </c>
      <c r="F51" s="42" t="s">
        <v>484</v>
      </c>
      <c r="G51" s="42" t="s">
        <v>352</v>
      </c>
      <c r="H51" s="42" t="s">
        <v>611</v>
      </c>
      <c r="I51" s="42" t="s">
        <v>382</v>
      </c>
      <c r="J51" s="42"/>
      <c r="K51" s="42"/>
      <c r="L51" s="42"/>
      <c r="M51" s="42" t="s">
        <v>644</v>
      </c>
      <c r="N51" s="42" t="s">
        <v>382</v>
      </c>
      <c r="O51" s="42" t="s">
        <v>635</v>
      </c>
      <c r="P51" s="42" t="s">
        <v>382</v>
      </c>
      <c r="Q51" s="42"/>
      <c r="R51" s="42"/>
      <c r="S51" s="42"/>
      <c r="T51" s="42" t="s">
        <v>352</v>
      </c>
      <c r="U51" s="42"/>
      <c r="V51" s="42"/>
      <c r="W51" s="42" t="s">
        <v>645</v>
      </c>
      <c r="X51" s="42"/>
      <c r="Y51" s="42"/>
      <c r="Z51" s="42"/>
      <c r="AA51" s="42"/>
    </row>
    <row r="52" spans="2:27" x14ac:dyDescent="0.2">
      <c r="B52" s="42" t="s">
        <v>340</v>
      </c>
      <c r="C52" s="42">
        <v>21255828</v>
      </c>
      <c r="D52" s="42" t="s">
        <v>418</v>
      </c>
      <c r="E52" s="42" t="s">
        <v>614</v>
      </c>
      <c r="F52" s="42" t="s">
        <v>643</v>
      </c>
      <c r="G52" s="42" t="s">
        <v>352</v>
      </c>
      <c r="H52" s="42" t="s">
        <v>611</v>
      </c>
      <c r="I52" s="42" t="s">
        <v>382</v>
      </c>
      <c r="J52" s="42"/>
      <c r="K52" s="42"/>
      <c r="L52" s="42"/>
      <c r="M52" s="42" t="s">
        <v>644</v>
      </c>
      <c r="N52" s="42" t="s">
        <v>382</v>
      </c>
      <c r="O52" s="42" t="s">
        <v>635</v>
      </c>
      <c r="P52" s="42" t="s">
        <v>382</v>
      </c>
      <c r="Q52" s="42"/>
      <c r="R52" s="42"/>
      <c r="S52" s="42"/>
      <c r="T52" s="42" t="s">
        <v>352</v>
      </c>
      <c r="U52" s="42"/>
      <c r="V52" s="42"/>
      <c r="W52" s="42" t="s">
        <v>646</v>
      </c>
      <c r="X52" s="42"/>
      <c r="Y52" s="42"/>
      <c r="Z52" s="42"/>
      <c r="AA52" s="42"/>
    </row>
    <row r="53" spans="2:27" x14ac:dyDescent="0.2">
      <c r="B53" s="42" t="s">
        <v>340</v>
      </c>
      <c r="C53" s="42">
        <v>21255828</v>
      </c>
      <c r="D53" s="42" t="s">
        <v>648</v>
      </c>
      <c r="E53" s="42" t="s">
        <v>647</v>
      </c>
      <c r="F53" s="42" t="s">
        <v>649</v>
      </c>
      <c r="G53" s="42"/>
      <c r="H53" s="42"/>
      <c r="I53" s="42"/>
      <c r="J53" s="42"/>
      <c r="K53" s="42"/>
      <c r="L53" s="42"/>
      <c r="M53" s="42"/>
      <c r="N53" s="42"/>
      <c r="O53" s="42"/>
      <c r="P53" s="42"/>
      <c r="Q53" s="42"/>
      <c r="R53" s="42"/>
      <c r="S53" s="42"/>
      <c r="T53" s="42"/>
      <c r="U53" s="42"/>
      <c r="V53" s="42"/>
      <c r="W53" s="42"/>
      <c r="X53" s="42"/>
      <c r="Y53" s="42"/>
      <c r="Z53" s="42"/>
      <c r="AA53" s="42"/>
    </row>
    <row r="54" spans="2:27" x14ac:dyDescent="0.2">
      <c r="B54" s="42" t="s">
        <v>330</v>
      </c>
      <c r="C54" s="42">
        <v>22573856</v>
      </c>
      <c r="D54" s="42" t="s">
        <v>418</v>
      </c>
      <c r="E54" s="42" t="s">
        <v>456</v>
      </c>
      <c r="F54" s="42" t="s">
        <v>416</v>
      </c>
      <c r="G54" s="42" t="s">
        <v>352</v>
      </c>
      <c r="H54" s="42" t="s">
        <v>689</v>
      </c>
      <c r="I54" s="42" t="s">
        <v>382</v>
      </c>
      <c r="J54" s="42"/>
      <c r="K54" s="42" t="s">
        <v>690</v>
      </c>
      <c r="L54" s="42"/>
      <c r="M54" s="42"/>
      <c r="N54" s="42" t="s">
        <v>382</v>
      </c>
      <c r="O54" s="42"/>
      <c r="P54" s="42" t="s">
        <v>352</v>
      </c>
      <c r="Q54" s="42" t="s">
        <v>691</v>
      </c>
      <c r="R54" s="42" t="s">
        <v>692</v>
      </c>
      <c r="S54" s="42" t="s">
        <v>693</v>
      </c>
      <c r="T54" s="42" t="s">
        <v>382</v>
      </c>
      <c r="U54" s="42"/>
      <c r="V54" s="42"/>
      <c r="W54" s="42"/>
      <c r="X54" s="42"/>
      <c r="Y54" s="42"/>
      <c r="Z54" s="42"/>
      <c r="AA54" s="42"/>
    </row>
    <row r="55" spans="2:27" x14ac:dyDescent="0.2">
      <c r="B55" s="42" t="s">
        <v>330</v>
      </c>
      <c r="C55" s="42">
        <v>22573856</v>
      </c>
      <c r="D55" s="42" t="s">
        <v>418</v>
      </c>
      <c r="E55" s="42" t="s">
        <v>456</v>
      </c>
      <c r="F55" s="42" t="s">
        <v>400</v>
      </c>
      <c r="G55" s="42" t="s">
        <v>352</v>
      </c>
      <c r="H55" s="42" t="s">
        <v>689</v>
      </c>
      <c r="I55" s="42" t="s">
        <v>382</v>
      </c>
      <c r="J55" s="42"/>
      <c r="K55" s="42"/>
      <c r="L55" s="42"/>
      <c r="M55" s="42" t="s">
        <v>439</v>
      </c>
      <c r="N55" s="42" t="s">
        <v>382</v>
      </c>
      <c r="O55" s="42"/>
      <c r="P55" s="42" t="s">
        <v>352</v>
      </c>
      <c r="Q55" s="42" t="s">
        <v>698</v>
      </c>
      <c r="R55" s="42" t="s">
        <v>699</v>
      </c>
      <c r="S55" s="42" t="s">
        <v>700</v>
      </c>
      <c r="T55" s="42" t="s">
        <v>352</v>
      </c>
      <c r="U55" s="42" t="s">
        <v>694</v>
      </c>
      <c r="V55" s="42" t="s">
        <v>695</v>
      </c>
      <c r="W55" s="42" t="s">
        <v>696</v>
      </c>
      <c r="X55" s="42" t="s">
        <v>456</v>
      </c>
      <c r="Y55" s="42" t="s">
        <v>456</v>
      </c>
      <c r="Z55" s="42" t="s">
        <v>520</v>
      </c>
      <c r="AA55" s="42" t="s">
        <v>697</v>
      </c>
    </row>
    <row r="56" spans="2:27" x14ac:dyDescent="0.2">
      <c r="B56" s="42" t="s">
        <v>330</v>
      </c>
      <c r="C56" s="42">
        <v>22573856</v>
      </c>
      <c r="D56" s="42" t="s">
        <v>418</v>
      </c>
      <c r="E56" s="42" t="s">
        <v>456</v>
      </c>
      <c r="F56" s="42" t="s">
        <v>399</v>
      </c>
      <c r="G56" s="42" t="s">
        <v>352</v>
      </c>
      <c r="H56" s="42" t="s">
        <v>689</v>
      </c>
      <c r="I56" s="42" t="s">
        <v>382</v>
      </c>
      <c r="J56" s="42"/>
      <c r="K56" s="42"/>
      <c r="L56" s="42"/>
      <c r="M56" s="42"/>
      <c r="N56" s="42" t="s">
        <v>382</v>
      </c>
      <c r="O56" s="42"/>
      <c r="P56" s="42" t="s">
        <v>352</v>
      </c>
      <c r="Q56" s="42" t="s">
        <v>457</v>
      </c>
      <c r="R56" s="42" t="s">
        <v>701</v>
      </c>
      <c r="S56" s="42" t="s">
        <v>702</v>
      </c>
      <c r="T56" s="42" t="s">
        <v>382</v>
      </c>
      <c r="U56" s="42"/>
      <c r="V56" s="42"/>
      <c r="W56" s="42"/>
      <c r="X56" s="42"/>
      <c r="Y56" s="42"/>
      <c r="Z56" s="42"/>
      <c r="AA56" s="42"/>
    </row>
    <row r="57" spans="2:27" x14ac:dyDescent="0.2">
      <c r="B57" s="42" t="s">
        <v>330</v>
      </c>
      <c r="C57" s="42">
        <v>22573856</v>
      </c>
      <c r="D57" s="42" t="s">
        <v>418</v>
      </c>
      <c r="E57" s="42" t="s">
        <v>456</v>
      </c>
      <c r="F57" s="42"/>
      <c r="G57" s="42"/>
      <c r="H57" s="42"/>
      <c r="I57" s="42"/>
      <c r="J57" s="42"/>
      <c r="K57" s="42"/>
      <c r="L57" s="42"/>
      <c r="M57" s="42"/>
      <c r="N57" s="42"/>
      <c r="O57" s="42"/>
      <c r="P57" s="42"/>
      <c r="Q57" s="42"/>
      <c r="R57" s="42"/>
      <c r="S57" s="42"/>
      <c r="T57" s="42"/>
      <c r="U57" s="42"/>
      <c r="V57" s="42"/>
      <c r="W57" s="42"/>
      <c r="X57" s="42"/>
      <c r="Y57" s="42"/>
      <c r="Z57" s="42"/>
      <c r="AA57" s="42"/>
    </row>
  </sheetData>
  <dataValidations count="4">
    <dataValidation type="list" allowBlank="1" showInputMessage="1" showErrorMessage="1" sqref="B6:B57" xr:uid="{A5B87601-917B-2440-B7E8-6939372BBD26}">
      <formula1>STUDYID</formula1>
    </dataValidation>
    <dataValidation type="list" allowBlank="1" showInputMessage="1" showErrorMessage="1" sqref="C6:C57" xr:uid="{706FC361-64DA-9047-BB49-6ACEADF3C3C6}">
      <formula1>Ref_ID</formula1>
    </dataValidation>
    <dataValidation type="list" allowBlank="1" showInputMessage="1" showErrorMessage="1" sqref="D6:D30" xr:uid="{8D16816A-354F-1D4E-8D0A-975E9FD2558E}">
      <formula1>Timepoint_list</formula1>
    </dataValidation>
    <dataValidation type="list" allowBlank="1" showInputMessage="1" showErrorMessage="1" sqref="F6:F57" xr:uid="{6FA4A8FE-EDFE-B842-AD0D-F0774CA50BF0}">
      <formula1>Characteristics_list</formula1>
    </dataValidation>
  </dataValidations>
  <pageMargins left="0.7" right="0.7" top="0.75" bottom="0.75" header="0.3" footer="0.3"/>
  <ignoredErrors>
    <ignoredError sqref="S11" numberStoredAsText="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9B6B-FD82-45D1-B381-27F8425A23D7}">
  <dimension ref="B2:M10"/>
  <sheetViews>
    <sheetView workbookViewId="0">
      <selection activeCell="G34" sqref="G34"/>
    </sheetView>
  </sheetViews>
  <sheetFormatPr baseColWidth="10" defaultColWidth="9.5" defaultRowHeight="16" x14ac:dyDescent="0.2"/>
  <cols>
    <col min="1" max="3" width="9.5" style="53"/>
    <col min="4" max="4" width="11.33203125" style="53" customWidth="1"/>
    <col min="5" max="5" width="15.6640625" style="53" customWidth="1"/>
    <col min="6" max="6" width="29.83203125" style="53" customWidth="1"/>
    <col min="7" max="7" width="14.6640625" style="53" customWidth="1"/>
    <col min="8" max="10" width="12.33203125" style="53" customWidth="1"/>
    <col min="11" max="11" width="22.6640625" style="53" customWidth="1"/>
    <col min="12" max="12" width="21.33203125" style="53" customWidth="1"/>
    <col min="13" max="13" width="21.1640625" style="53" customWidth="1"/>
    <col min="14" max="16384" width="9.5" style="53"/>
  </cols>
  <sheetData>
    <row r="2" spans="2:13" x14ac:dyDescent="0.2">
      <c r="B2" t="s">
        <v>703</v>
      </c>
    </row>
    <row r="6" spans="2:13" ht="17" x14ac:dyDescent="0.2">
      <c r="D6" s="54" t="s">
        <v>1</v>
      </c>
      <c r="E6" s="55" t="s">
        <v>351</v>
      </c>
      <c r="F6" s="55" t="s">
        <v>704</v>
      </c>
      <c r="G6" s="55" t="s">
        <v>400</v>
      </c>
      <c r="H6" s="55" t="s">
        <v>399</v>
      </c>
      <c r="I6" s="55" t="s">
        <v>415</v>
      </c>
      <c r="J6" s="55"/>
      <c r="K6" s="55" t="s">
        <v>706</v>
      </c>
      <c r="L6" s="55" t="s">
        <v>707</v>
      </c>
      <c r="M6" s="55"/>
    </row>
    <row r="7" spans="2:13" ht="17" x14ac:dyDescent="0.2">
      <c r="D7" s="56" t="s">
        <v>309</v>
      </c>
      <c r="E7" s="57">
        <v>31436156</v>
      </c>
    </row>
    <row r="8" spans="2:13" ht="17" x14ac:dyDescent="0.2">
      <c r="D8" s="56" t="s">
        <v>253</v>
      </c>
      <c r="E8" s="57">
        <v>27645786</v>
      </c>
    </row>
    <row r="9" spans="2:13" ht="17" x14ac:dyDescent="0.2">
      <c r="D9" s="56" t="s">
        <v>340</v>
      </c>
      <c r="E9" s="57">
        <v>21255828</v>
      </c>
    </row>
    <row r="10" spans="2:13" ht="34" x14ac:dyDescent="0.2">
      <c r="D10" s="56" t="s">
        <v>330</v>
      </c>
      <c r="E10" s="57">
        <v>22573856</v>
      </c>
      <c r="F10" s="53" t="s">
        <v>705</v>
      </c>
      <c r="G10" s="53" t="s">
        <v>352</v>
      </c>
      <c r="H10" s="53" t="s">
        <v>352</v>
      </c>
    </row>
  </sheetData>
  <dataValidations count="2">
    <dataValidation type="list" allowBlank="1" showInputMessage="1" showErrorMessage="1" sqref="E7:E10" xr:uid="{AD4247D1-0A50-4700-9935-4E4FE5E1B628}">
      <formula1>Ref_ID</formula1>
    </dataValidation>
    <dataValidation type="list" allowBlank="1" showInputMessage="1" showErrorMessage="1" sqref="D7:D10" xr:uid="{85223639-EE15-4C12-95CB-3C5CEB3C67D8}">
      <formula1>STUDYID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9CE5-53C4-4495-BFAA-7FB8AD5D7674}">
  <dimension ref="B3:L37"/>
  <sheetViews>
    <sheetView workbookViewId="0">
      <selection activeCell="B5" sqref="B5"/>
    </sheetView>
  </sheetViews>
  <sheetFormatPr baseColWidth="10" defaultColWidth="8.83203125" defaultRowHeight="16" x14ac:dyDescent="0.2"/>
  <cols>
    <col min="2" max="2" width="29.83203125" bestFit="1" customWidth="1"/>
    <col min="3" max="3" width="12.6640625" bestFit="1" customWidth="1"/>
    <col min="4" max="4" width="30" bestFit="1" customWidth="1"/>
    <col min="6" max="6" width="22.6640625" customWidth="1"/>
    <col min="7" max="7" width="30.6640625" customWidth="1"/>
    <col min="8" max="8" width="31.1640625" customWidth="1"/>
  </cols>
  <sheetData>
    <row r="3" spans="2:8" x14ac:dyDescent="0.2">
      <c r="B3" t="s">
        <v>386</v>
      </c>
      <c r="C3" t="s">
        <v>395</v>
      </c>
      <c r="D3" t="s">
        <v>397</v>
      </c>
      <c r="F3" t="s">
        <v>417</v>
      </c>
      <c r="G3" t="s">
        <v>419</v>
      </c>
      <c r="H3" t="s">
        <v>420</v>
      </c>
    </row>
    <row r="4" spans="2:8" x14ac:dyDescent="0.2">
      <c r="B4" t="s">
        <v>889</v>
      </c>
      <c r="C4" t="s">
        <v>396</v>
      </c>
      <c r="D4" t="s">
        <v>398</v>
      </c>
      <c r="F4" t="s">
        <v>418</v>
      </c>
      <c r="G4" t="s">
        <v>421</v>
      </c>
      <c r="H4" t="s">
        <v>422</v>
      </c>
    </row>
    <row r="5" spans="2:8" x14ac:dyDescent="0.2">
      <c r="B5" t="s">
        <v>387</v>
      </c>
      <c r="F5" t="s">
        <v>403</v>
      </c>
      <c r="G5" t="s">
        <v>423</v>
      </c>
      <c r="H5" t="s">
        <v>424</v>
      </c>
    </row>
    <row r="6" spans="2:8" x14ac:dyDescent="0.2">
      <c r="B6" t="s">
        <v>388</v>
      </c>
    </row>
    <row r="7" spans="2:8" x14ac:dyDescent="0.2">
      <c r="B7" t="s">
        <v>389</v>
      </c>
    </row>
    <row r="8" spans="2:8" x14ac:dyDescent="0.2">
      <c r="B8" t="s">
        <v>390</v>
      </c>
    </row>
    <row r="9" spans="2:8" x14ac:dyDescent="0.2">
      <c r="B9" t="s">
        <v>391</v>
      </c>
    </row>
    <row r="10" spans="2:8" x14ac:dyDescent="0.2">
      <c r="B10" t="s">
        <v>392</v>
      </c>
    </row>
    <row r="11" spans="2:8" x14ac:dyDescent="0.2">
      <c r="B11" t="s">
        <v>888</v>
      </c>
    </row>
    <row r="12" spans="2:8" x14ac:dyDescent="0.2">
      <c r="B12" t="s">
        <v>813</v>
      </c>
      <c r="D12" t="s">
        <v>814</v>
      </c>
      <c r="F12" t="s">
        <v>442</v>
      </c>
      <c r="G12" t="s">
        <v>452</v>
      </c>
    </row>
    <row r="13" spans="2:8" x14ac:dyDescent="0.2">
      <c r="B13" t="s">
        <v>847</v>
      </c>
      <c r="D13" t="s">
        <v>848</v>
      </c>
      <c r="F13" t="s">
        <v>399</v>
      </c>
      <c r="G13" t="s">
        <v>451</v>
      </c>
    </row>
    <row r="14" spans="2:8" x14ac:dyDescent="0.2">
      <c r="B14" t="s">
        <v>868</v>
      </c>
      <c r="D14" t="s">
        <v>867</v>
      </c>
      <c r="F14" t="s">
        <v>400</v>
      </c>
      <c r="G14" t="s">
        <v>451</v>
      </c>
    </row>
    <row r="15" spans="2:8" x14ac:dyDescent="0.2">
      <c r="B15" t="s">
        <v>886</v>
      </c>
      <c r="C15" t="s">
        <v>877</v>
      </c>
      <c r="D15" t="s">
        <v>878</v>
      </c>
      <c r="F15" t="s">
        <v>415</v>
      </c>
      <c r="G15" t="s">
        <v>448</v>
      </c>
    </row>
    <row r="16" spans="2:8" x14ac:dyDescent="0.2">
      <c r="F16" t="s">
        <v>447</v>
      </c>
      <c r="G16" t="s">
        <v>448</v>
      </c>
    </row>
    <row r="17" spans="6:12" x14ac:dyDescent="0.2">
      <c r="F17" t="s">
        <v>443</v>
      </c>
      <c r="G17" t="s">
        <v>448</v>
      </c>
    </row>
    <row r="18" spans="6:12" x14ac:dyDescent="0.2">
      <c r="F18" t="s">
        <v>444</v>
      </c>
      <c r="G18" t="s">
        <v>449</v>
      </c>
    </row>
    <row r="19" spans="6:12" x14ac:dyDescent="0.2">
      <c r="F19" t="s">
        <v>445</v>
      </c>
      <c r="G19" t="s">
        <v>449</v>
      </c>
    </row>
    <row r="20" spans="6:12" x14ac:dyDescent="0.2">
      <c r="F20" t="s">
        <v>453</v>
      </c>
      <c r="G20" t="s">
        <v>449</v>
      </c>
    </row>
    <row r="21" spans="6:12" x14ac:dyDescent="0.2">
      <c r="F21" t="s">
        <v>454</v>
      </c>
      <c r="G21" t="s">
        <v>449</v>
      </c>
    </row>
    <row r="22" spans="6:12" x14ac:dyDescent="0.2">
      <c r="F22" t="s">
        <v>455</v>
      </c>
      <c r="G22" t="s">
        <v>450</v>
      </c>
    </row>
    <row r="23" spans="6:12" x14ac:dyDescent="0.2">
      <c r="F23" t="s">
        <v>416</v>
      </c>
      <c r="G23" t="s">
        <v>450</v>
      </c>
    </row>
    <row r="24" spans="6:12" x14ac:dyDescent="0.2">
      <c r="F24" t="s">
        <v>474</v>
      </c>
      <c r="G24" t="s">
        <v>450</v>
      </c>
    </row>
    <row r="25" spans="6:12" x14ac:dyDescent="0.2">
      <c r="F25" t="s">
        <v>480</v>
      </c>
      <c r="G25" t="s">
        <v>449</v>
      </c>
    </row>
    <row r="26" spans="6:12" x14ac:dyDescent="0.2">
      <c r="F26" t="s">
        <v>453</v>
      </c>
      <c r="G26" t="s">
        <v>449</v>
      </c>
    </row>
    <row r="27" spans="6:12" x14ac:dyDescent="0.2">
      <c r="F27" t="s">
        <v>454</v>
      </c>
      <c r="G27" t="s">
        <v>449</v>
      </c>
    </row>
    <row r="28" spans="6:12" x14ac:dyDescent="0.2">
      <c r="F28" t="s">
        <v>481</v>
      </c>
      <c r="G28" t="s">
        <v>449</v>
      </c>
    </row>
    <row r="29" spans="6:12" x14ac:dyDescent="0.2">
      <c r="F29" t="s">
        <v>482</v>
      </c>
      <c r="G29" t="s">
        <v>483</v>
      </c>
    </row>
    <row r="30" spans="6:12" x14ac:dyDescent="0.2">
      <c r="F30" t="s">
        <v>484</v>
      </c>
      <c r="G30" t="s">
        <v>483</v>
      </c>
    </row>
    <row r="31" spans="6:12" x14ac:dyDescent="0.2">
      <c r="F31" t="s">
        <v>485</v>
      </c>
      <c r="G31" t="s">
        <v>483</v>
      </c>
    </row>
    <row r="32" spans="6:12" x14ac:dyDescent="0.2">
      <c r="F32" t="s">
        <v>486</v>
      </c>
      <c r="G32" t="s">
        <v>483</v>
      </c>
      <c r="L32" s="48"/>
    </row>
    <row r="33" spans="6:7" x14ac:dyDescent="0.2">
      <c r="F33" t="s">
        <v>487</v>
      </c>
      <c r="G33" t="s">
        <v>483</v>
      </c>
    </row>
    <row r="34" spans="6:7" x14ac:dyDescent="0.2">
      <c r="F34" t="s">
        <v>596</v>
      </c>
      <c r="G34" t="s">
        <v>451</v>
      </c>
    </row>
    <row r="35" spans="6:7" x14ac:dyDescent="0.2">
      <c r="F35" t="s">
        <v>623</v>
      </c>
      <c r="G35" t="s">
        <v>624</v>
      </c>
    </row>
    <row r="36" spans="6:7" x14ac:dyDescent="0.2">
      <c r="F36" t="s">
        <v>640</v>
      </c>
      <c r="G36" t="s">
        <v>483</v>
      </c>
    </row>
    <row r="37" spans="6:7" x14ac:dyDescent="0.2">
      <c r="F37" t="s">
        <v>643</v>
      </c>
      <c r="G37" t="s">
        <v>483</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A52B-0852-054A-A594-018EFD821EFD}">
  <dimension ref="B2:AJ62"/>
  <sheetViews>
    <sheetView workbookViewId="0">
      <selection activeCell="H25" sqref="H25"/>
    </sheetView>
  </sheetViews>
  <sheetFormatPr baseColWidth="10" defaultColWidth="11" defaultRowHeight="16" x14ac:dyDescent="0.2"/>
  <cols>
    <col min="2" max="2" width="23.6640625" customWidth="1"/>
    <col min="3" max="3" width="20.5" customWidth="1"/>
    <col min="4" max="4" width="23.33203125" customWidth="1"/>
    <col min="5" max="5" width="12.6640625" customWidth="1"/>
    <col min="6" max="6" width="22.5" customWidth="1"/>
    <col min="7" max="7" width="30.83203125" customWidth="1"/>
    <col min="8" max="8" width="27.5" customWidth="1"/>
    <col min="9" max="9" width="17.1640625" customWidth="1"/>
    <col min="10" max="10" width="22.6640625" customWidth="1"/>
    <col min="11" max="11" width="25.33203125" customWidth="1"/>
    <col min="12" max="12" width="29.6640625" customWidth="1"/>
    <col min="13" max="13" width="13.33203125" customWidth="1"/>
    <col min="14" max="14" width="26" customWidth="1"/>
    <col min="15" max="15" width="27.1640625" customWidth="1"/>
    <col min="17" max="17" width="13.83203125" customWidth="1"/>
    <col min="18" max="18" width="19.83203125" customWidth="1"/>
    <col min="19" max="19" width="15.83203125" customWidth="1"/>
    <col min="20" max="20" width="15" customWidth="1"/>
    <col min="21" max="21" width="21.1640625" customWidth="1"/>
    <col min="22" max="22" width="21.33203125" customWidth="1"/>
    <col min="23" max="23" width="26.83203125" customWidth="1"/>
    <col min="24" max="24" width="26.33203125" customWidth="1"/>
    <col min="25" max="25" width="15.1640625" customWidth="1"/>
    <col min="26" max="26" width="14.6640625" customWidth="1"/>
    <col min="27" max="27" width="27.83203125" customWidth="1"/>
    <col min="28" max="28" width="25.1640625" customWidth="1"/>
    <col min="29" max="29" width="27.6640625" customWidth="1"/>
    <col min="30" max="30" width="22.5" customWidth="1"/>
    <col min="31" max="31" width="20.83203125" customWidth="1"/>
    <col min="32" max="32" width="14.5" customWidth="1"/>
    <col min="33" max="33" width="11.33203125" customWidth="1"/>
    <col min="34" max="34" width="15.33203125" customWidth="1"/>
    <col min="35" max="35" width="16" customWidth="1"/>
    <col min="36" max="36" width="24.33203125" customWidth="1"/>
  </cols>
  <sheetData>
    <row r="2" spans="2:36" ht="17" thickBot="1" x14ac:dyDescent="0.25"/>
    <row r="3" spans="2:36" ht="17" thickTop="1" x14ac:dyDescent="0.2">
      <c r="B3" s="79" t="s">
        <v>2</v>
      </c>
      <c r="C3" s="80"/>
      <c r="D3" s="80"/>
      <c r="E3" s="80"/>
      <c r="F3" s="81"/>
      <c r="G3" s="82" t="s">
        <v>3</v>
      </c>
      <c r="H3" s="83"/>
      <c r="I3" s="83"/>
      <c r="J3" s="83"/>
      <c r="K3" s="83"/>
      <c r="L3" s="83"/>
      <c r="M3" s="83"/>
      <c r="N3" s="83"/>
      <c r="O3" s="83"/>
      <c r="P3" s="83"/>
      <c r="Q3" s="83"/>
      <c r="R3" s="83"/>
      <c r="S3" s="83"/>
      <c r="T3" s="83"/>
      <c r="U3" s="83"/>
      <c r="V3" s="83"/>
      <c r="W3" s="84"/>
      <c r="X3" s="85" t="s">
        <v>4</v>
      </c>
      <c r="Y3" s="86"/>
      <c r="Z3" s="86"/>
      <c r="AA3" s="86"/>
      <c r="AB3" s="86"/>
      <c r="AC3" s="86"/>
      <c r="AD3" s="86"/>
      <c r="AE3" s="87"/>
      <c r="AF3" s="88" t="s">
        <v>5</v>
      </c>
      <c r="AG3" s="89"/>
      <c r="AH3" s="89"/>
      <c r="AI3" s="89"/>
      <c r="AJ3" s="90"/>
    </row>
    <row r="4" spans="2:36" x14ac:dyDescent="0.2">
      <c r="B4" s="27" t="s">
        <v>6</v>
      </c>
      <c r="C4" s="1" t="s">
        <v>7</v>
      </c>
      <c r="D4" s="2" t="s">
        <v>8</v>
      </c>
      <c r="E4" s="2" t="s">
        <v>9</v>
      </c>
      <c r="F4" s="3" t="s">
        <v>10</v>
      </c>
      <c r="G4" s="4" t="s">
        <v>11</v>
      </c>
      <c r="H4" s="5" t="s">
        <v>12</v>
      </c>
      <c r="I4" s="6" t="s">
        <v>13</v>
      </c>
      <c r="J4" s="6" t="s">
        <v>14</v>
      </c>
      <c r="K4" s="6" t="s">
        <v>15</v>
      </c>
      <c r="L4" s="6" t="s">
        <v>16</v>
      </c>
      <c r="M4" s="6" t="s">
        <v>17</v>
      </c>
      <c r="N4" s="6" t="s">
        <v>18</v>
      </c>
      <c r="O4" s="6" t="s">
        <v>19</v>
      </c>
      <c r="P4" s="6" t="s">
        <v>20</v>
      </c>
      <c r="Q4" s="6" t="s">
        <v>21</v>
      </c>
      <c r="R4" s="6" t="s">
        <v>22</v>
      </c>
      <c r="S4" s="6" t="s">
        <v>23</v>
      </c>
      <c r="T4" s="6" t="s">
        <v>24</v>
      </c>
      <c r="U4" s="6" t="s">
        <v>25</v>
      </c>
      <c r="V4" s="6" t="s">
        <v>26</v>
      </c>
      <c r="W4" s="7" t="s">
        <v>27</v>
      </c>
      <c r="X4" s="8" t="s">
        <v>28</v>
      </c>
      <c r="Y4" s="9" t="s">
        <v>29</v>
      </c>
      <c r="Z4" s="10" t="s">
        <v>30</v>
      </c>
      <c r="AA4" s="10" t="s">
        <v>31</v>
      </c>
      <c r="AB4" s="10" t="s">
        <v>32</v>
      </c>
      <c r="AC4" s="10" t="s">
        <v>33</v>
      </c>
      <c r="AD4" s="10" t="s">
        <v>34</v>
      </c>
      <c r="AE4" s="11" t="s">
        <v>35</v>
      </c>
      <c r="AF4" s="12" t="s">
        <v>36</v>
      </c>
      <c r="AG4" s="13" t="s">
        <v>37</v>
      </c>
      <c r="AH4" s="14" t="s">
        <v>38</v>
      </c>
      <c r="AI4" s="14" t="s">
        <v>39</v>
      </c>
      <c r="AJ4" s="28" t="s">
        <v>40</v>
      </c>
    </row>
    <row r="5" spans="2:36" ht="32" hidden="1" x14ac:dyDescent="0.2">
      <c r="B5" s="16" t="s">
        <v>41</v>
      </c>
      <c r="C5" s="15" t="s">
        <v>42</v>
      </c>
      <c r="D5" s="16" t="s">
        <v>43</v>
      </c>
      <c r="E5" s="16">
        <v>2020</v>
      </c>
      <c r="F5" s="17" t="s">
        <v>44</v>
      </c>
      <c r="G5" s="16" t="s">
        <v>45</v>
      </c>
      <c r="H5" s="15" t="s">
        <v>46</v>
      </c>
      <c r="I5" s="16" t="s">
        <v>46</v>
      </c>
      <c r="J5" s="16" t="s">
        <v>46</v>
      </c>
      <c r="K5" s="16" t="s">
        <v>47</v>
      </c>
      <c r="L5" s="16" t="s">
        <v>48</v>
      </c>
      <c r="M5" s="16" t="s">
        <v>49</v>
      </c>
      <c r="N5" s="16" t="s">
        <v>50</v>
      </c>
      <c r="O5" s="16" t="s">
        <v>51</v>
      </c>
      <c r="P5" s="16" t="s">
        <v>52</v>
      </c>
      <c r="Q5" s="16" t="s">
        <v>53</v>
      </c>
      <c r="R5" s="16" t="s">
        <v>54</v>
      </c>
      <c r="S5" s="33">
        <v>40415</v>
      </c>
      <c r="T5" s="33">
        <v>40806</v>
      </c>
      <c r="U5" s="16" t="s">
        <v>55</v>
      </c>
      <c r="V5" s="16" t="s">
        <v>56</v>
      </c>
      <c r="W5" s="17" t="s">
        <v>57</v>
      </c>
      <c r="X5" s="16">
        <v>35</v>
      </c>
      <c r="Y5" s="15" t="s">
        <v>58</v>
      </c>
      <c r="Z5" s="16" t="s">
        <v>59</v>
      </c>
      <c r="AA5" s="16">
        <v>6</v>
      </c>
      <c r="AB5" s="16">
        <v>9</v>
      </c>
      <c r="AC5" s="16">
        <v>20</v>
      </c>
      <c r="AD5" s="16">
        <v>9</v>
      </c>
      <c r="AE5" s="17">
        <v>26</v>
      </c>
      <c r="AF5" s="16" t="s">
        <v>60</v>
      </c>
      <c r="AG5" s="15" t="s">
        <v>60</v>
      </c>
      <c r="AH5" s="16" t="s">
        <v>60</v>
      </c>
      <c r="AI5" s="16" t="s">
        <v>60</v>
      </c>
      <c r="AJ5" s="29" t="s">
        <v>60</v>
      </c>
    </row>
    <row r="6" spans="2:36" ht="32" hidden="1" x14ac:dyDescent="0.2">
      <c r="B6" s="20" t="s">
        <v>61</v>
      </c>
      <c r="C6" s="19" t="s">
        <v>42</v>
      </c>
      <c r="D6" s="20" t="s">
        <v>62</v>
      </c>
      <c r="E6" s="20">
        <v>2019</v>
      </c>
      <c r="F6" s="21" t="s">
        <v>44</v>
      </c>
      <c r="G6" s="20" t="s">
        <v>63</v>
      </c>
      <c r="H6" s="19" t="s">
        <v>46</v>
      </c>
      <c r="I6" s="20" t="s">
        <v>46</v>
      </c>
      <c r="J6" s="20" t="s">
        <v>46</v>
      </c>
      <c r="K6" s="20" t="s">
        <v>64</v>
      </c>
      <c r="L6" s="20" t="s">
        <v>48</v>
      </c>
      <c r="M6" s="20" t="s">
        <v>49</v>
      </c>
      <c r="N6" s="20" t="s">
        <v>50</v>
      </c>
      <c r="O6" s="20" t="s">
        <v>51</v>
      </c>
      <c r="P6" s="20" t="s">
        <v>52</v>
      </c>
      <c r="Q6" s="20" t="s">
        <v>60</v>
      </c>
      <c r="R6" s="20" t="s">
        <v>54</v>
      </c>
      <c r="S6" s="22">
        <v>42924</v>
      </c>
      <c r="T6" s="22" t="s">
        <v>46</v>
      </c>
      <c r="U6" s="20" t="s">
        <v>65</v>
      </c>
      <c r="V6" s="20" t="s">
        <v>56</v>
      </c>
      <c r="W6" s="21" t="s">
        <v>66</v>
      </c>
      <c r="X6" s="20">
        <v>106</v>
      </c>
      <c r="Y6" s="19" t="s">
        <v>58</v>
      </c>
      <c r="Z6" s="20" t="s">
        <v>59</v>
      </c>
      <c r="AA6" s="20">
        <v>0</v>
      </c>
      <c r="AB6" s="20">
        <v>0</v>
      </c>
      <c r="AC6" s="20">
        <v>106</v>
      </c>
      <c r="AD6" s="20">
        <v>37</v>
      </c>
      <c r="AE6" s="21">
        <v>69</v>
      </c>
      <c r="AF6" s="20" t="s">
        <v>60</v>
      </c>
      <c r="AG6" s="19" t="s">
        <v>60</v>
      </c>
      <c r="AH6" s="20" t="s">
        <v>60</v>
      </c>
      <c r="AI6" s="20" t="s">
        <v>60</v>
      </c>
      <c r="AJ6" s="30" t="s">
        <v>60</v>
      </c>
    </row>
    <row r="7" spans="2:36" ht="80" hidden="1" x14ac:dyDescent="0.2">
      <c r="B7" s="20" t="s">
        <v>67</v>
      </c>
      <c r="C7" s="19" t="s">
        <v>42</v>
      </c>
      <c r="D7" s="20" t="s">
        <v>43</v>
      </c>
      <c r="E7" s="20">
        <v>2019</v>
      </c>
      <c r="F7" s="21" t="s">
        <v>68</v>
      </c>
      <c r="G7" s="20" t="s">
        <v>69</v>
      </c>
      <c r="H7" s="19" t="s">
        <v>70</v>
      </c>
      <c r="I7" s="24" t="s">
        <v>71</v>
      </c>
      <c r="J7" s="20">
        <v>24454970</v>
      </c>
      <c r="K7" s="20" t="s">
        <v>72</v>
      </c>
      <c r="L7" s="20" t="s">
        <v>48</v>
      </c>
      <c r="M7" s="20" t="s">
        <v>49</v>
      </c>
      <c r="N7" s="20" t="s">
        <v>50</v>
      </c>
      <c r="O7" s="20" t="s">
        <v>73</v>
      </c>
      <c r="P7" s="20" t="s">
        <v>52</v>
      </c>
      <c r="Q7" s="20" t="s">
        <v>60</v>
      </c>
      <c r="R7" s="20" t="s">
        <v>54</v>
      </c>
      <c r="S7" s="22" t="s">
        <v>74</v>
      </c>
      <c r="T7" s="22" t="s">
        <v>75</v>
      </c>
      <c r="U7" s="20" t="s">
        <v>76</v>
      </c>
      <c r="V7" s="20" t="s">
        <v>77</v>
      </c>
      <c r="W7" s="21" t="s">
        <v>66</v>
      </c>
      <c r="X7" s="20">
        <v>124</v>
      </c>
      <c r="Y7" s="19" t="s">
        <v>58</v>
      </c>
      <c r="Z7" s="20" t="s">
        <v>59</v>
      </c>
      <c r="AA7" s="20">
        <v>3</v>
      </c>
      <c r="AB7" s="20">
        <v>59</v>
      </c>
      <c r="AC7" s="20">
        <v>62</v>
      </c>
      <c r="AD7" s="20">
        <v>22</v>
      </c>
      <c r="AE7" s="21">
        <v>102</v>
      </c>
      <c r="AF7" s="20" t="s">
        <v>60</v>
      </c>
      <c r="AG7" s="19" t="s">
        <v>60</v>
      </c>
      <c r="AH7" s="20" t="s">
        <v>53</v>
      </c>
      <c r="AI7" s="20" t="s">
        <v>60</v>
      </c>
      <c r="AJ7" s="30" t="s">
        <v>60</v>
      </c>
    </row>
    <row r="8" spans="2:36" ht="64" hidden="1" x14ac:dyDescent="0.2">
      <c r="B8" s="20" t="s">
        <v>78</v>
      </c>
      <c r="C8" s="19" t="s">
        <v>42</v>
      </c>
      <c r="D8" s="20" t="s">
        <v>79</v>
      </c>
      <c r="E8" s="20">
        <v>2020</v>
      </c>
      <c r="F8" s="21" t="s">
        <v>44</v>
      </c>
      <c r="G8" s="20" t="s">
        <v>46</v>
      </c>
      <c r="H8" s="19" t="s">
        <v>80</v>
      </c>
      <c r="I8" s="24" t="s">
        <v>81</v>
      </c>
      <c r="J8" s="20">
        <v>18186974</v>
      </c>
      <c r="K8" s="20" t="s">
        <v>82</v>
      </c>
      <c r="L8" s="20" t="s">
        <v>48</v>
      </c>
      <c r="M8" s="20" t="s">
        <v>49</v>
      </c>
      <c r="N8" s="20" t="s">
        <v>50</v>
      </c>
      <c r="O8" s="20" t="s">
        <v>83</v>
      </c>
      <c r="P8" s="20" t="s">
        <v>52</v>
      </c>
      <c r="Q8" s="20" t="s">
        <v>53</v>
      </c>
      <c r="R8" s="20" t="s">
        <v>54</v>
      </c>
      <c r="S8" s="22" t="s">
        <v>84</v>
      </c>
      <c r="T8" s="22" t="s">
        <v>85</v>
      </c>
      <c r="U8" s="20" t="s">
        <v>86</v>
      </c>
      <c r="V8" s="20" t="s">
        <v>77</v>
      </c>
      <c r="W8" s="21" t="s">
        <v>87</v>
      </c>
      <c r="X8" s="20">
        <v>180</v>
      </c>
      <c r="Y8" s="19" t="s">
        <v>58</v>
      </c>
      <c r="Z8" s="20" t="s">
        <v>59</v>
      </c>
      <c r="AA8" s="20">
        <v>28</v>
      </c>
      <c r="AB8" s="20">
        <v>94</v>
      </c>
      <c r="AC8" s="20">
        <v>58</v>
      </c>
      <c r="AD8" s="20">
        <v>47</v>
      </c>
      <c r="AE8" s="21">
        <v>133</v>
      </c>
      <c r="AF8" s="20" t="s">
        <v>60</v>
      </c>
      <c r="AG8" s="19" t="s">
        <v>60</v>
      </c>
      <c r="AH8" s="20" t="s">
        <v>60</v>
      </c>
      <c r="AI8" s="20" t="s">
        <v>60</v>
      </c>
      <c r="AJ8" s="30" t="s">
        <v>60</v>
      </c>
    </row>
    <row r="9" spans="2:36" ht="32" hidden="1" x14ac:dyDescent="0.2">
      <c r="B9" s="20" t="s">
        <v>88</v>
      </c>
      <c r="C9" s="19" t="s">
        <v>42</v>
      </c>
      <c r="D9" s="20" t="s">
        <v>62</v>
      </c>
      <c r="E9" s="20">
        <v>2020</v>
      </c>
      <c r="F9" s="21" t="s">
        <v>44</v>
      </c>
      <c r="G9" s="20" t="s">
        <v>46</v>
      </c>
      <c r="H9" s="19" t="s">
        <v>46</v>
      </c>
      <c r="I9" s="20" t="s">
        <v>46</v>
      </c>
      <c r="J9" s="20" t="s">
        <v>46</v>
      </c>
      <c r="K9" s="20" t="s">
        <v>64</v>
      </c>
      <c r="L9" s="20" t="s">
        <v>48</v>
      </c>
      <c r="M9" s="20" t="s">
        <v>49</v>
      </c>
      <c r="N9" s="20" t="s">
        <v>50</v>
      </c>
      <c r="O9" s="20" t="s">
        <v>66</v>
      </c>
      <c r="P9" s="20" t="s">
        <v>52</v>
      </c>
      <c r="Q9" s="20" t="s">
        <v>46</v>
      </c>
      <c r="R9" s="20" t="s">
        <v>46</v>
      </c>
      <c r="S9" s="22" t="s">
        <v>46</v>
      </c>
      <c r="T9" s="22" t="s">
        <v>46</v>
      </c>
      <c r="U9" s="20" t="s">
        <v>46</v>
      </c>
      <c r="V9" s="20" t="s">
        <v>46</v>
      </c>
      <c r="W9" s="21" t="s">
        <v>66</v>
      </c>
      <c r="X9" s="20">
        <v>116</v>
      </c>
      <c r="Y9" s="19" t="s">
        <v>89</v>
      </c>
      <c r="Z9" s="20" t="s">
        <v>59</v>
      </c>
      <c r="AA9" s="20" t="s">
        <v>90</v>
      </c>
      <c r="AB9" s="20" t="s">
        <v>90</v>
      </c>
      <c r="AC9" s="20" t="s">
        <v>90</v>
      </c>
      <c r="AD9" s="20" t="s">
        <v>90</v>
      </c>
      <c r="AE9" s="21">
        <v>72</v>
      </c>
      <c r="AF9" s="20" t="s">
        <v>90</v>
      </c>
      <c r="AG9" s="19" t="s">
        <v>90</v>
      </c>
      <c r="AH9" s="20" t="s">
        <v>90</v>
      </c>
      <c r="AI9" s="20" t="s">
        <v>90</v>
      </c>
      <c r="AJ9" s="30" t="s">
        <v>90</v>
      </c>
    </row>
    <row r="10" spans="2:36" ht="80" hidden="1" x14ac:dyDescent="0.2">
      <c r="B10" s="20" t="s">
        <v>91</v>
      </c>
      <c r="C10" s="19" t="s">
        <v>42</v>
      </c>
      <c r="D10" s="20" t="s">
        <v>92</v>
      </c>
      <c r="E10" s="20">
        <v>2019</v>
      </c>
      <c r="F10" s="21" t="s">
        <v>44</v>
      </c>
      <c r="G10" s="20" t="s">
        <v>46</v>
      </c>
      <c r="H10" s="19" t="s">
        <v>93</v>
      </c>
      <c r="I10" s="24" t="s">
        <v>94</v>
      </c>
      <c r="J10" s="20">
        <v>15228258</v>
      </c>
      <c r="K10" s="20" t="s">
        <v>47</v>
      </c>
      <c r="L10" s="20" t="s">
        <v>48</v>
      </c>
      <c r="M10" s="20" t="s">
        <v>95</v>
      </c>
      <c r="N10" s="20" t="s">
        <v>96</v>
      </c>
      <c r="O10" s="20" t="s">
        <v>87</v>
      </c>
      <c r="P10" s="20" t="s">
        <v>52</v>
      </c>
      <c r="Q10" s="20" t="s">
        <v>53</v>
      </c>
      <c r="R10" s="20" t="s">
        <v>54</v>
      </c>
      <c r="S10" s="22" t="s">
        <v>97</v>
      </c>
      <c r="T10" s="22" t="s">
        <v>98</v>
      </c>
      <c r="U10" s="20" t="s">
        <v>86</v>
      </c>
      <c r="V10" s="20" t="s">
        <v>77</v>
      </c>
      <c r="W10" s="21" t="s">
        <v>99</v>
      </c>
      <c r="X10" s="20">
        <v>120</v>
      </c>
      <c r="Y10" s="19" t="s">
        <v>58</v>
      </c>
      <c r="Z10" s="20" t="s">
        <v>59</v>
      </c>
      <c r="AA10" s="20">
        <v>3</v>
      </c>
      <c r="AB10" s="20">
        <v>31</v>
      </c>
      <c r="AC10" s="20">
        <v>86</v>
      </c>
      <c r="AD10" s="20">
        <v>50</v>
      </c>
      <c r="AE10" s="21">
        <v>70</v>
      </c>
      <c r="AF10" s="20" t="s">
        <v>60</v>
      </c>
      <c r="AG10" s="19" t="s">
        <v>60</v>
      </c>
      <c r="AH10" s="20" t="s">
        <v>53</v>
      </c>
      <c r="AI10" s="20" t="s">
        <v>60</v>
      </c>
      <c r="AJ10" s="30" t="s">
        <v>60</v>
      </c>
    </row>
    <row r="11" spans="2:36" ht="80" hidden="1" x14ac:dyDescent="0.2">
      <c r="B11" s="20" t="s">
        <v>100</v>
      </c>
      <c r="C11" s="19" t="s">
        <v>42</v>
      </c>
      <c r="D11" s="20" t="s">
        <v>62</v>
      </c>
      <c r="E11" s="20">
        <v>2019</v>
      </c>
      <c r="F11" s="21" t="s">
        <v>44</v>
      </c>
      <c r="G11" s="20" t="s">
        <v>101</v>
      </c>
      <c r="H11" s="19" t="s">
        <v>102</v>
      </c>
      <c r="I11" s="24" t="s">
        <v>103</v>
      </c>
      <c r="J11" s="20">
        <v>18781879</v>
      </c>
      <c r="K11" s="20" t="s">
        <v>64</v>
      </c>
      <c r="L11" s="20" t="s">
        <v>48</v>
      </c>
      <c r="M11" s="20" t="s">
        <v>104</v>
      </c>
      <c r="N11" s="20" t="s">
        <v>105</v>
      </c>
      <c r="O11" s="20" t="s">
        <v>106</v>
      </c>
      <c r="P11" s="20" t="s">
        <v>52</v>
      </c>
      <c r="Q11" s="20" t="s">
        <v>107</v>
      </c>
      <c r="R11" s="20" t="s">
        <v>54</v>
      </c>
      <c r="S11" s="22" t="s">
        <v>108</v>
      </c>
      <c r="T11" s="22" t="s">
        <v>109</v>
      </c>
      <c r="U11" s="20" t="s">
        <v>110</v>
      </c>
      <c r="V11" s="20" t="s">
        <v>56</v>
      </c>
      <c r="W11" s="21" t="s">
        <v>111</v>
      </c>
      <c r="X11" s="20">
        <v>226</v>
      </c>
      <c r="Y11" s="19" t="s">
        <v>58</v>
      </c>
      <c r="Z11" s="20" t="s">
        <v>59</v>
      </c>
      <c r="AA11" s="20">
        <v>0</v>
      </c>
      <c r="AB11" s="20">
        <v>64</v>
      </c>
      <c r="AC11" s="20">
        <v>162</v>
      </c>
      <c r="AD11" s="20">
        <v>88</v>
      </c>
      <c r="AE11" s="21">
        <v>138</v>
      </c>
      <c r="AF11" s="20" t="s">
        <v>60</v>
      </c>
      <c r="AG11" s="19" t="s">
        <v>60</v>
      </c>
      <c r="AH11" s="20" t="s">
        <v>60</v>
      </c>
      <c r="AI11" s="20" t="s">
        <v>60</v>
      </c>
      <c r="AJ11" s="30" t="s">
        <v>60</v>
      </c>
    </row>
    <row r="12" spans="2:36" ht="64" hidden="1" x14ac:dyDescent="0.2">
      <c r="B12" s="20" t="s">
        <v>112</v>
      </c>
      <c r="C12" s="19" t="s">
        <v>42</v>
      </c>
      <c r="D12" s="20" t="s">
        <v>62</v>
      </c>
      <c r="E12" s="20">
        <v>2019</v>
      </c>
      <c r="F12" s="21" t="s">
        <v>44</v>
      </c>
      <c r="G12" s="20" t="s">
        <v>113</v>
      </c>
      <c r="H12" s="19" t="s">
        <v>114</v>
      </c>
      <c r="I12" s="24" t="s">
        <v>115</v>
      </c>
      <c r="J12" s="20">
        <v>19663597</v>
      </c>
      <c r="K12" s="20" t="s">
        <v>64</v>
      </c>
      <c r="L12" s="20" t="s">
        <v>48</v>
      </c>
      <c r="M12" s="20" t="s">
        <v>116</v>
      </c>
      <c r="N12" s="20" t="s">
        <v>96</v>
      </c>
      <c r="O12" s="20" t="s">
        <v>117</v>
      </c>
      <c r="P12" s="20" t="s">
        <v>52</v>
      </c>
      <c r="Q12" s="20" t="s">
        <v>60</v>
      </c>
      <c r="R12" s="20" t="s">
        <v>54</v>
      </c>
      <c r="S12" s="22">
        <v>39241</v>
      </c>
      <c r="T12" s="22" t="s">
        <v>118</v>
      </c>
      <c r="U12" s="20" t="s">
        <v>65</v>
      </c>
      <c r="V12" s="20" t="s">
        <v>119</v>
      </c>
      <c r="W12" s="21" t="s">
        <v>120</v>
      </c>
      <c r="X12" s="20">
        <v>329</v>
      </c>
      <c r="Y12" s="19" t="s">
        <v>58</v>
      </c>
      <c r="Z12" s="20" t="s">
        <v>59</v>
      </c>
      <c r="AA12" s="20">
        <v>0</v>
      </c>
      <c r="AB12" s="20">
        <v>166</v>
      </c>
      <c r="AC12" s="20">
        <v>163</v>
      </c>
      <c r="AD12" s="20">
        <v>136</v>
      </c>
      <c r="AE12" s="21">
        <v>193</v>
      </c>
      <c r="AF12" s="20" t="s">
        <v>60</v>
      </c>
      <c r="AG12" s="19" t="s">
        <v>60</v>
      </c>
      <c r="AH12" s="20" t="s">
        <v>60</v>
      </c>
      <c r="AI12" s="20" t="s">
        <v>60</v>
      </c>
      <c r="AJ12" s="30" t="s">
        <v>60</v>
      </c>
    </row>
    <row r="13" spans="2:36" ht="32" hidden="1" x14ac:dyDescent="0.2">
      <c r="B13" s="20" t="s">
        <v>121</v>
      </c>
      <c r="C13" s="19" t="s">
        <v>42</v>
      </c>
      <c r="D13" s="20" t="s">
        <v>43</v>
      </c>
      <c r="E13" s="20">
        <v>2020</v>
      </c>
      <c r="F13" s="21" t="s">
        <v>44</v>
      </c>
      <c r="G13" s="20" t="s">
        <v>46</v>
      </c>
      <c r="H13" s="19" t="s">
        <v>46</v>
      </c>
      <c r="I13" s="20" t="s">
        <v>46</v>
      </c>
      <c r="J13" s="20" t="s">
        <v>46</v>
      </c>
      <c r="K13" s="20" t="s">
        <v>47</v>
      </c>
      <c r="L13" s="20" t="s">
        <v>48</v>
      </c>
      <c r="M13" s="20" t="s">
        <v>122</v>
      </c>
      <c r="N13" s="20" t="s">
        <v>123</v>
      </c>
      <c r="O13" s="20" t="s">
        <v>124</v>
      </c>
      <c r="P13" s="20" t="s">
        <v>52</v>
      </c>
      <c r="Q13" s="20" t="s">
        <v>53</v>
      </c>
      <c r="R13" s="20" t="s">
        <v>54</v>
      </c>
      <c r="S13" s="22" t="s">
        <v>46</v>
      </c>
      <c r="T13" s="22" t="s">
        <v>46</v>
      </c>
      <c r="U13" s="20" t="s">
        <v>55</v>
      </c>
      <c r="V13" s="20" t="s">
        <v>56</v>
      </c>
      <c r="W13" s="21" t="s">
        <v>120</v>
      </c>
      <c r="X13" s="20">
        <v>125</v>
      </c>
      <c r="Y13" s="19" t="s">
        <v>125</v>
      </c>
      <c r="Z13" s="20" t="s">
        <v>59</v>
      </c>
      <c r="AA13" s="20">
        <v>5</v>
      </c>
      <c r="AB13" s="20">
        <v>39</v>
      </c>
      <c r="AC13" s="20">
        <v>81</v>
      </c>
      <c r="AD13" s="20">
        <v>63</v>
      </c>
      <c r="AE13" s="21">
        <v>62</v>
      </c>
      <c r="AF13" s="20" t="s">
        <v>60</v>
      </c>
      <c r="AG13" s="19" t="s">
        <v>60</v>
      </c>
      <c r="AH13" s="20" t="s">
        <v>60</v>
      </c>
      <c r="AI13" s="20" t="s">
        <v>60</v>
      </c>
      <c r="AJ13" s="30" t="s">
        <v>60</v>
      </c>
    </row>
    <row r="14" spans="2:36" ht="80" hidden="1" x14ac:dyDescent="0.2">
      <c r="B14" s="20" t="s">
        <v>126</v>
      </c>
      <c r="C14" s="19" t="s">
        <v>42</v>
      </c>
      <c r="D14" s="20" t="s">
        <v>62</v>
      </c>
      <c r="E14" s="20">
        <v>2020</v>
      </c>
      <c r="F14" s="21" t="s">
        <v>44</v>
      </c>
      <c r="G14" s="20" t="s">
        <v>46</v>
      </c>
      <c r="H14" s="19" t="s">
        <v>127</v>
      </c>
      <c r="I14" s="24" t="s">
        <v>128</v>
      </c>
      <c r="J14" s="20">
        <v>18186975</v>
      </c>
      <c r="K14" s="20" t="s">
        <v>64</v>
      </c>
      <c r="L14" s="20" t="s">
        <v>48</v>
      </c>
      <c r="M14" s="20" t="s">
        <v>129</v>
      </c>
      <c r="N14" s="20" t="s">
        <v>130</v>
      </c>
      <c r="O14" s="20" t="s">
        <v>87</v>
      </c>
      <c r="P14" s="20" t="s">
        <v>52</v>
      </c>
      <c r="Q14" s="20" t="s">
        <v>60</v>
      </c>
      <c r="R14" s="20" t="s">
        <v>46</v>
      </c>
      <c r="S14" s="22" t="s">
        <v>131</v>
      </c>
      <c r="T14" s="22" t="s">
        <v>132</v>
      </c>
      <c r="U14" s="20" t="s">
        <v>65</v>
      </c>
      <c r="V14" s="20" t="s">
        <v>77</v>
      </c>
      <c r="W14" s="21" t="s">
        <v>66</v>
      </c>
      <c r="X14" s="20">
        <v>10</v>
      </c>
      <c r="Y14" s="19" t="s">
        <v>58</v>
      </c>
      <c r="Z14" s="20" t="s">
        <v>59</v>
      </c>
      <c r="AA14" s="20">
        <v>0</v>
      </c>
      <c r="AB14" s="20">
        <v>6</v>
      </c>
      <c r="AC14" s="20">
        <v>4</v>
      </c>
      <c r="AD14" s="20">
        <v>4</v>
      </c>
      <c r="AE14" s="21">
        <v>6</v>
      </c>
      <c r="AF14" s="20" t="s">
        <v>60</v>
      </c>
      <c r="AG14" s="19" t="s">
        <v>60</v>
      </c>
      <c r="AH14" s="20" t="s">
        <v>53</v>
      </c>
      <c r="AI14" s="20" t="s">
        <v>60</v>
      </c>
      <c r="AJ14" s="30" t="s">
        <v>60</v>
      </c>
    </row>
    <row r="15" spans="2:36" ht="64" hidden="1" x14ac:dyDescent="0.2">
      <c r="B15" s="20" t="s">
        <v>133</v>
      </c>
      <c r="C15" s="19" t="s">
        <v>42</v>
      </c>
      <c r="D15" s="20" t="s">
        <v>43</v>
      </c>
      <c r="E15" s="20">
        <v>2019</v>
      </c>
      <c r="F15" s="21" t="s">
        <v>44</v>
      </c>
      <c r="G15" s="20" t="s">
        <v>134</v>
      </c>
      <c r="H15" s="19" t="s">
        <v>135</v>
      </c>
      <c r="I15" s="24" t="s">
        <v>136</v>
      </c>
      <c r="J15" s="20">
        <v>21049063</v>
      </c>
      <c r="K15" s="20" t="s">
        <v>137</v>
      </c>
      <c r="L15" s="20" t="s">
        <v>48</v>
      </c>
      <c r="M15" s="20" t="s">
        <v>116</v>
      </c>
      <c r="N15" s="20" t="s">
        <v>96</v>
      </c>
      <c r="O15" s="20" t="s">
        <v>138</v>
      </c>
      <c r="P15" s="20" t="s">
        <v>52</v>
      </c>
      <c r="Q15" s="20" t="s">
        <v>60</v>
      </c>
      <c r="R15" s="20" t="s">
        <v>54</v>
      </c>
      <c r="S15" s="22" t="s">
        <v>139</v>
      </c>
      <c r="T15" s="22" t="s">
        <v>140</v>
      </c>
      <c r="U15" s="20" t="s">
        <v>76</v>
      </c>
      <c r="V15" s="20" t="s">
        <v>141</v>
      </c>
      <c r="W15" s="21" t="s">
        <v>66</v>
      </c>
      <c r="X15" s="20">
        <v>42</v>
      </c>
      <c r="Y15" s="19" t="s">
        <v>58</v>
      </c>
      <c r="Z15" s="20" t="s">
        <v>59</v>
      </c>
      <c r="AA15" s="20">
        <v>2</v>
      </c>
      <c r="AB15" s="20">
        <v>17</v>
      </c>
      <c r="AC15" s="20">
        <v>23</v>
      </c>
      <c r="AD15" s="20">
        <v>7</v>
      </c>
      <c r="AE15" s="21">
        <v>35</v>
      </c>
      <c r="AF15" s="20" t="s">
        <v>60</v>
      </c>
      <c r="AG15" s="19" t="s">
        <v>60</v>
      </c>
      <c r="AH15" s="20" t="s">
        <v>53</v>
      </c>
      <c r="AI15" s="20" t="s">
        <v>60</v>
      </c>
      <c r="AJ15" s="30" t="s">
        <v>60</v>
      </c>
    </row>
    <row r="16" spans="2:36" ht="409.5" hidden="1" x14ac:dyDescent="0.2">
      <c r="B16" s="20" t="s">
        <v>142</v>
      </c>
      <c r="C16" s="19" t="s">
        <v>42</v>
      </c>
      <c r="D16" s="20" t="s">
        <v>143</v>
      </c>
      <c r="E16" s="20">
        <v>2018</v>
      </c>
      <c r="F16" s="21" t="s">
        <v>44</v>
      </c>
      <c r="G16" s="20" t="s">
        <v>46</v>
      </c>
      <c r="H16" s="19" t="s">
        <v>144</v>
      </c>
      <c r="I16" s="24" t="s">
        <v>145</v>
      </c>
      <c r="J16" s="20" t="s">
        <v>146</v>
      </c>
      <c r="K16" s="20" t="s">
        <v>47</v>
      </c>
      <c r="L16" s="20" t="s">
        <v>48</v>
      </c>
      <c r="M16" s="20" t="s">
        <v>95</v>
      </c>
      <c r="N16" s="20" t="s">
        <v>96</v>
      </c>
      <c r="O16" s="20" t="s">
        <v>87</v>
      </c>
      <c r="P16" s="20" t="s">
        <v>52</v>
      </c>
      <c r="Q16" s="20" t="s">
        <v>53</v>
      </c>
      <c r="R16" s="20" t="s">
        <v>46</v>
      </c>
      <c r="S16" s="22" t="s">
        <v>98</v>
      </c>
      <c r="T16" s="22" t="s">
        <v>84</v>
      </c>
      <c r="U16" s="20" t="s">
        <v>99</v>
      </c>
      <c r="V16" s="20" t="s">
        <v>77</v>
      </c>
      <c r="W16" s="21" t="s">
        <v>99</v>
      </c>
      <c r="X16" s="20">
        <v>224</v>
      </c>
      <c r="Y16" s="19" t="s">
        <v>58</v>
      </c>
      <c r="Z16" s="20" t="s">
        <v>59</v>
      </c>
      <c r="AA16" s="20">
        <v>9</v>
      </c>
      <c r="AB16" s="20">
        <v>74</v>
      </c>
      <c r="AC16" s="20">
        <v>141</v>
      </c>
      <c r="AD16" s="20">
        <v>93</v>
      </c>
      <c r="AE16" s="21">
        <v>131</v>
      </c>
      <c r="AF16" s="20" t="s">
        <v>60</v>
      </c>
      <c r="AG16" s="19" t="s">
        <v>60</v>
      </c>
      <c r="AH16" s="20" t="s">
        <v>53</v>
      </c>
      <c r="AI16" s="20" t="s">
        <v>60</v>
      </c>
      <c r="AJ16" s="30" t="s">
        <v>60</v>
      </c>
    </row>
    <row r="17" spans="2:36" ht="32" hidden="1" x14ac:dyDescent="0.2">
      <c r="B17" s="20" t="s">
        <v>147</v>
      </c>
      <c r="C17" s="19" t="s">
        <v>42</v>
      </c>
      <c r="D17" s="20" t="s">
        <v>62</v>
      </c>
      <c r="E17" s="20">
        <v>2020</v>
      </c>
      <c r="F17" s="21" t="s">
        <v>44</v>
      </c>
      <c r="G17" s="20" t="s">
        <v>46</v>
      </c>
      <c r="H17" s="19" t="s">
        <v>46</v>
      </c>
      <c r="I17" s="20" t="s">
        <v>46</v>
      </c>
      <c r="J17" s="20" t="s">
        <v>46</v>
      </c>
      <c r="K17" s="20" t="s">
        <v>64</v>
      </c>
      <c r="L17" s="20" t="s">
        <v>148</v>
      </c>
      <c r="M17" s="20" t="s">
        <v>149</v>
      </c>
      <c r="N17" s="20" t="s">
        <v>46</v>
      </c>
      <c r="O17" s="20" t="s">
        <v>46</v>
      </c>
      <c r="P17" s="20" t="s">
        <v>52</v>
      </c>
      <c r="Q17" s="20" t="s">
        <v>46</v>
      </c>
      <c r="R17" s="20" t="s">
        <v>46</v>
      </c>
      <c r="S17" s="22">
        <v>39316</v>
      </c>
      <c r="T17" s="22">
        <v>39874</v>
      </c>
      <c r="U17" s="20" t="s">
        <v>46</v>
      </c>
      <c r="V17" s="20" t="s">
        <v>46</v>
      </c>
      <c r="W17" s="21" t="s">
        <v>46</v>
      </c>
      <c r="X17" s="20">
        <v>22</v>
      </c>
      <c r="Y17" s="19" t="s">
        <v>89</v>
      </c>
      <c r="Z17" s="20" t="s">
        <v>59</v>
      </c>
      <c r="AA17" s="20" t="s">
        <v>90</v>
      </c>
      <c r="AB17" s="20" t="s">
        <v>90</v>
      </c>
      <c r="AC17" s="20" t="s">
        <v>90</v>
      </c>
      <c r="AD17" s="20">
        <v>5</v>
      </c>
      <c r="AE17" s="21">
        <v>17</v>
      </c>
      <c r="AF17" s="20" t="s">
        <v>90</v>
      </c>
      <c r="AG17" s="19" t="s">
        <v>90</v>
      </c>
      <c r="AH17" s="20" t="s">
        <v>90</v>
      </c>
      <c r="AI17" s="20" t="s">
        <v>90</v>
      </c>
      <c r="AJ17" s="30" t="s">
        <v>90</v>
      </c>
    </row>
    <row r="18" spans="2:36" ht="48" hidden="1" x14ac:dyDescent="0.2">
      <c r="B18" s="20" t="s">
        <v>150</v>
      </c>
      <c r="C18" s="19" t="s">
        <v>42</v>
      </c>
      <c r="D18" s="20" t="s">
        <v>62</v>
      </c>
      <c r="E18" s="20">
        <v>2019</v>
      </c>
      <c r="F18" s="21" t="s">
        <v>44</v>
      </c>
      <c r="G18" s="20" t="s">
        <v>151</v>
      </c>
      <c r="H18" s="19" t="s">
        <v>152</v>
      </c>
      <c r="I18" s="24" t="s">
        <v>153</v>
      </c>
      <c r="J18" s="20">
        <v>31436156</v>
      </c>
      <c r="K18" s="20" t="s">
        <v>64</v>
      </c>
      <c r="L18" s="20" t="s">
        <v>48</v>
      </c>
      <c r="M18" s="20" t="s">
        <v>49</v>
      </c>
      <c r="N18" s="20" t="s">
        <v>50</v>
      </c>
      <c r="O18" s="20" t="s">
        <v>154</v>
      </c>
      <c r="P18" s="20" t="s">
        <v>155</v>
      </c>
      <c r="Q18" s="20" t="s">
        <v>53</v>
      </c>
      <c r="R18" s="20" t="s">
        <v>156</v>
      </c>
      <c r="S18" s="22" t="s">
        <v>157</v>
      </c>
      <c r="T18" s="22" t="s">
        <v>158</v>
      </c>
      <c r="U18" s="20" t="s">
        <v>65</v>
      </c>
      <c r="V18" s="20" t="s">
        <v>77</v>
      </c>
      <c r="W18" s="21" t="s">
        <v>99</v>
      </c>
      <c r="X18" s="20">
        <v>274</v>
      </c>
      <c r="Y18" s="19" t="s">
        <v>58</v>
      </c>
      <c r="Z18" s="20" t="s">
        <v>59</v>
      </c>
      <c r="AA18" s="20">
        <v>32</v>
      </c>
      <c r="AB18" s="20">
        <v>115</v>
      </c>
      <c r="AC18" s="20">
        <v>127</v>
      </c>
      <c r="AD18" s="20">
        <v>110</v>
      </c>
      <c r="AE18" s="21">
        <v>164</v>
      </c>
      <c r="AF18" s="20" t="s">
        <v>60</v>
      </c>
      <c r="AG18" s="19" t="s">
        <v>60</v>
      </c>
      <c r="AH18" s="20" t="s">
        <v>53</v>
      </c>
      <c r="AI18" s="20" t="s">
        <v>60</v>
      </c>
      <c r="AJ18" s="30" t="s">
        <v>60</v>
      </c>
    </row>
    <row r="19" spans="2:36" ht="80" hidden="1" x14ac:dyDescent="0.2">
      <c r="B19" s="20" t="s">
        <v>159</v>
      </c>
      <c r="C19" s="19" t="s">
        <v>42</v>
      </c>
      <c r="D19" s="20" t="s">
        <v>43</v>
      </c>
      <c r="E19" s="20">
        <v>2019</v>
      </c>
      <c r="F19" s="21" t="s">
        <v>68</v>
      </c>
      <c r="G19" s="20" t="s">
        <v>134</v>
      </c>
      <c r="H19" s="19" t="s">
        <v>160</v>
      </c>
      <c r="I19" s="25" t="s">
        <v>161</v>
      </c>
      <c r="J19" s="20">
        <v>21049059</v>
      </c>
      <c r="K19" s="20" t="s">
        <v>162</v>
      </c>
      <c r="L19" s="20" t="s">
        <v>48</v>
      </c>
      <c r="M19" s="20" t="s">
        <v>163</v>
      </c>
      <c r="N19" s="20" t="s">
        <v>130</v>
      </c>
      <c r="O19" s="20" t="s">
        <v>164</v>
      </c>
      <c r="P19" s="20" t="s">
        <v>52</v>
      </c>
      <c r="Q19" s="20" t="s">
        <v>60</v>
      </c>
      <c r="R19" s="20" t="s">
        <v>54</v>
      </c>
      <c r="S19" s="22">
        <v>38307</v>
      </c>
      <c r="T19" s="22">
        <v>39560</v>
      </c>
      <c r="U19" s="20" t="s">
        <v>76</v>
      </c>
      <c r="V19" s="20" t="s">
        <v>141</v>
      </c>
      <c r="W19" s="21" t="s">
        <v>120</v>
      </c>
      <c r="X19" s="20">
        <v>405</v>
      </c>
      <c r="Y19" s="19" t="s">
        <v>58</v>
      </c>
      <c r="Z19" s="20" t="s">
        <v>59</v>
      </c>
      <c r="AA19" s="20">
        <v>13</v>
      </c>
      <c r="AB19" s="20">
        <v>210</v>
      </c>
      <c r="AC19" s="20">
        <v>182</v>
      </c>
      <c r="AD19" s="20">
        <v>99</v>
      </c>
      <c r="AE19" s="21">
        <v>306</v>
      </c>
      <c r="AF19" s="20" t="s">
        <v>60</v>
      </c>
      <c r="AG19" s="19" t="s">
        <v>60</v>
      </c>
      <c r="AH19" s="20" t="s">
        <v>53</v>
      </c>
      <c r="AI19" s="20" t="s">
        <v>60</v>
      </c>
      <c r="AJ19" s="30" t="s">
        <v>60</v>
      </c>
    </row>
    <row r="20" spans="2:36" ht="96" hidden="1" x14ac:dyDescent="0.2">
      <c r="B20" s="20" t="s">
        <v>165</v>
      </c>
      <c r="C20" s="19" t="s">
        <v>42</v>
      </c>
      <c r="D20" s="20" t="s">
        <v>62</v>
      </c>
      <c r="E20" s="20">
        <v>2019</v>
      </c>
      <c r="F20" s="21" t="s">
        <v>44</v>
      </c>
      <c r="G20" s="20" t="s">
        <v>166</v>
      </c>
      <c r="H20" s="19" t="s">
        <v>167</v>
      </c>
      <c r="I20" s="32" t="s">
        <v>168</v>
      </c>
      <c r="J20" s="19">
        <v>25233346</v>
      </c>
      <c r="K20" s="20" t="s">
        <v>64</v>
      </c>
      <c r="L20" s="20" t="s">
        <v>48</v>
      </c>
      <c r="M20" s="20" t="s">
        <v>49</v>
      </c>
      <c r="N20" s="20" t="s">
        <v>50</v>
      </c>
      <c r="O20" s="20" t="s">
        <v>154</v>
      </c>
      <c r="P20" s="20" t="s">
        <v>52</v>
      </c>
      <c r="Q20" s="20" t="s">
        <v>60</v>
      </c>
      <c r="R20" s="20" t="s">
        <v>54</v>
      </c>
      <c r="S20" s="22">
        <v>39837</v>
      </c>
      <c r="T20" s="22">
        <v>40351</v>
      </c>
      <c r="U20" s="20" t="s">
        <v>65</v>
      </c>
      <c r="V20" s="20" t="s">
        <v>56</v>
      </c>
      <c r="W20" s="21" t="s">
        <v>66</v>
      </c>
      <c r="X20" s="20">
        <v>150</v>
      </c>
      <c r="Y20" s="19" t="s">
        <v>58</v>
      </c>
      <c r="Z20" s="20" t="s">
        <v>59</v>
      </c>
      <c r="AA20" s="20">
        <v>0</v>
      </c>
      <c r="AB20" s="20">
        <v>64</v>
      </c>
      <c r="AC20" s="20">
        <v>86</v>
      </c>
      <c r="AD20" s="20">
        <v>66</v>
      </c>
      <c r="AE20" s="21">
        <v>84</v>
      </c>
      <c r="AF20" s="20" t="s">
        <v>60</v>
      </c>
      <c r="AG20" s="19" t="s">
        <v>60</v>
      </c>
      <c r="AH20" s="20" t="s">
        <v>60</v>
      </c>
      <c r="AI20" s="20" t="s">
        <v>60</v>
      </c>
      <c r="AJ20" s="30" t="s">
        <v>60</v>
      </c>
    </row>
    <row r="21" spans="2:36" ht="48" hidden="1" x14ac:dyDescent="0.2">
      <c r="B21" s="20" t="s">
        <v>169</v>
      </c>
      <c r="C21" s="19" t="s">
        <v>42</v>
      </c>
      <c r="D21" s="20" t="s">
        <v>62</v>
      </c>
      <c r="E21" s="20">
        <v>2019</v>
      </c>
      <c r="F21" s="21" t="s">
        <v>44</v>
      </c>
      <c r="G21" s="20" t="s">
        <v>46</v>
      </c>
      <c r="H21" s="19" t="s">
        <v>170</v>
      </c>
      <c r="I21" s="23" t="s">
        <v>171</v>
      </c>
      <c r="J21" s="20">
        <v>17624846</v>
      </c>
      <c r="K21" s="20" t="s">
        <v>64</v>
      </c>
      <c r="L21" s="20" t="s">
        <v>48</v>
      </c>
      <c r="M21" s="20" t="s">
        <v>122</v>
      </c>
      <c r="N21" s="20" t="s">
        <v>123</v>
      </c>
      <c r="O21" s="20" t="s">
        <v>124</v>
      </c>
      <c r="P21" s="20" t="s">
        <v>52</v>
      </c>
      <c r="Q21" s="20" t="s">
        <v>53</v>
      </c>
      <c r="R21" s="20" t="s">
        <v>54</v>
      </c>
      <c r="S21" s="22">
        <v>37610</v>
      </c>
      <c r="T21" s="22">
        <v>38042</v>
      </c>
      <c r="U21" s="20" t="s">
        <v>55</v>
      </c>
      <c r="V21" s="20" t="s">
        <v>56</v>
      </c>
      <c r="W21" s="21" t="s">
        <v>66</v>
      </c>
      <c r="X21" s="20">
        <v>367</v>
      </c>
      <c r="Y21" s="19" t="s">
        <v>58</v>
      </c>
      <c r="Z21" s="20" t="s">
        <v>59</v>
      </c>
      <c r="AA21" s="20">
        <v>19</v>
      </c>
      <c r="AB21" s="20">
        <v>179</v>
      </c>
      <c r="AC21" s="20">
        <v>169</v>
      </c>
      <c r="AD21" s="20">
        <v>141</v>
      </c>
      <c r="AE21" s="21">
        <v>226</v>
      </c>
      <c r="AF21" s="20" t="s">
        <v>60</v>
      </c>
      <c r="AG21" s="19" t="s">
        <v>60</v>
      </c>
      <c r="AH21" s="20" t="s">
        <v>53</v>
      </c>
      <c r="AI21" s="20" t="s">
        <v>60</v>
      </c>
      <c r="AJ21" s="30" t="s">
        <v>60</v>
      </c>
    </row>
    <row r="22" spans="2:36" ht="48" hidden="1" x14ac:dyDescent="0.2">
      <c r="B22" s="20" t="s">
        <v>172</v>
      </c>
      <c r="C22" s="19" t="s">
        <v>42</v>
      </c>
      <c r="D22" s="20" t="s">
        <v>62</v>
      </c>
      <c r="E22" s="20">
        <v>2019</v>
      </c>
      <c r="F22" s="21" t="s">
        <v>44</v>
      </c>
      <c r="G22" s="20" t="s">
        <v>46</v>
      </c>
      <c r="H22" s="19" t="s">
        <v>173</v>
      </c>
      <c r="I22" s="24" t="s">
        <v>174</v>
      </c>
      <c r="J22" s="20">
        <v>25685839</v>
      </c>
      <c r="K22" s="20" t="s">
        <v>64</v>
      </c>
      <c r="L22" s="20" t="s">
        <v>148</v>
      </c>
      <c r="M22" s="20" t="s">
        <v>122</v>
      </c>
      <c r="N22" s="20" t="s">
        <v>123</v>
      </c>
      <c r="O22" s="20" t="s">
        <v>175</v>
      </c>
      <c r="P22" s="20" t="s">
        <v>52</v>
      </c>
      <c r="Q22" s="20" t="s">
        <v>53</v>
      </c>
      <c r="R22" s="20" t="s">
        <v>46</v>
      </c>
      <c r="S22" s="22">
        <v>40735</v>
      </c>
      <c r="T22" s="22" t="s">
        <v>46</v>
      </c>
      <c r="U22" s="20" t="s">
        <v>176</v>
      </c>
      <c r="V22" s="20" t="s">
        <v>46</v>
      </c>
      <c r="W22" s="21" t="s">
        <v>99</v>
      </c>
      <c r="X22" s="20">
        <v>27</v>
      </c>
      <c r="Y22" s="19" t="s">
        <v>125</v>
      </c>
      <c r="Z22" s="20" t="s">
        <v>59</v>
      </c>
      <c r="AA22" s="20">
        <v>0</v>
      </c>
      <c r="AB22" s="20">
        <v>10</v>
      </c>
      <c r="AC22" s="20">
        <v>17</v>
      </c>
      <c r="AD22" s="20">
        <v>11</v>
      </c>
      <c r="AE22" s="21">
        <v>16</v>
      </c>
      <c r="AF22" s="20" t="s">
        <v>60</v>
      </c>
      <c r="AG22" s="19" t="s">
        <v>60</v>
      </c>
      <c r="AH22" s="20" t="s">
        <v>60</v>
      </c>
      <c r="AI22" s="20" t="s">
        <v>60</v>
      </c>
      <c r="AJ22" s="30" t="s">
        <v>60</v>
      </c>
    </row>
    <row r="23" spans="2:36" ht="80" hidden="1" x14ac:dyDescent="0.2">
      <c r="B23" s="20" t="s">
        <v>177</v>
      </c>
      <c r="C23" s="19" t="s">
        <v>42</v>
      </c>
      <c r="D23" s="20" t="s">
        <v>178</v>
      </c>
      <c r="E23" s="20">
        <v>2018</v>
      </c>
      <c r="F23" s="21" t="s">
        <v>68</v>
      </c>
      <c r="G23" s="20" t="s">
        <v>46</v>
      </c>
      <c r="H23" s="19" t="s">
        <v>179</v>
      </c>
      <c r="I23" s="24" t="s">
        <v>180</v>
      </c>
      <c r="J23" s="20">
        <v>16804852</v>
      </c>
      <c r="K23" s="20" t="s">
        <v>181</v>
      </c>
      <c r="L23" s="20" t="s">
        <v>48</v>
      </c>
      <c r="M23" s="20" t="s">
        <v>182</v>
      </c>
      <c r="N23" s="20" t="s">
        <v>183</v>
      </c>
      <c r="O23" s="20" t="s">
        <v>184</v>
      </c>
      <c r="P23" s="20" t="s">
        <v>52</v>
      </c>
      <c r="Q23" s="20" t="s">
        <v>60</v>
      </c>
      <c r="R23" s="20" t="s">
        <v>54</v>
      </c>
      <c r="S23" s="22">
        <v>37936</v>
      </c>
      <c r="T23" s="22" t="s">
        <v>46</v>
      </c>
      <c r="U23" s="20" t="s">
        <v>185</v>
      </c>
      <c r="V23" s="20" t="s">
        <v>77</v>
      </c>
      <c r="W23" s="21" t="s">
        <v>66</v>
      </c>
      <c r="X23" s="20">
        <v>580</v>
      </c>
      <c r="Y23" s="19" t="s">
        <v>58</v>
      </c>
      <c r="Z23" s="20" t="s">
        <v>59</v>
      </c>
      <c r="AA23" s="20">
        <v>0</v>
      </c>
      <c r="AB23" s="20">
        <v>0</v>
      </c>
      <c r="AC23" s="20">
        <v>580</v>
      </c>
      <c r="AD23" s="20">
        <v>0</v>
      </c>
      <c r="AE23" s="21">
        <v>580</v>
      </c>
      <c r="AF23" s="20" t="s">
        <v>60</v>
      </c>
      <c r="AG23" s="19" t="s">
        <v>60</v>
      </c>
      <c r="AH23" s="20" t="s">
        <v>53</v>
      </c>
      <c r="AI23" s="20" t="s">
        <v>60</v>
      </c>
      <c r="AJ23" s="30" t="s">
        <v>60</v>
      </c>
    </row>
    <row r="24" spans="2:36" ht="51" hidden="1" x14ac:dyDescent="0.2">
      <c r="B24" s="20" t="s">
        <v>186</v>
      </c>
      <c r="C24" s="19" t="s">
        <v>42</v>
      </c>
      <c r="D24" s="20" t="s">
        <v>62</v>
      </c>
      <c r="E24" s="20">
        <v>2019</v>
      </c>
      <c r="F24" s="21" t="s">
        <v>44</v>
      </c>
      <c r="G24" s="20" t="s">
        <v>187</v>
      </c>
      <c r="H24" s="19" t="s">
        <v>188</v>
      </c>
      <c r="I24" s="24" t="s">
        <v>189</v>
      </c>
      <c r="J24" s="20">
        <v>20147716</v>
      </c>
      <c r="K24" s="20" t="s">
        <v>64</v>
      </c>
      <c r="L24" s="20" t="s">
        <v>48</v>
      </c>
      <c r="M24" s="20" t="s">
        <v>49</v>
      </c>
      <c r="N24" s="20" t="s">
        <v>46</v>
      </c>
      <c r="O24" s="20" t="s">
        <v>190</v>
      </c>
      <c r="P24" s="20" t="s">
        <v>52</v>
      </c>
      <c r="Q24" s="20" t="s">
        <v>60</v>
      </c>
      <c r="R24" s="20" t="s">
        <v>54</v>
      </c>
      <c r="S24" s="22">
        <v>39480</v>
      </c>
      <c r="T24" s="22">
        <v>39880</v>
      </c>
      <c r="U24" s="20" t="s">
        <v>55</v>
      </c>
      <c r="V24" s="20" t="s">
        <v>56</v>
      </c>
      <c r="W24" s="21" t="s">
        <v>66</v>
      </c>
      <c r="X24" s="20">
        <v>412</v>
      </c>
      <c r="Y24" s="19" t="s">
        <v>58</v>
      </c>
      <c r="Z24" s="20" t="s">
        <v>59</v>
      </c>
      <c r="AA24" s="20">
        <v>37</v>
      </c>
      <c r="AB24" s="20">
        <v>203</v>
      </c>
      <c r="AC24" s="20">
        <v>172</v>
      </c>
      <c r="AD24" s="20">
        <v>161</v>
      </c>
      <c r="AE24" s="21">
        <v>251</v>
      </c>
      <c r="AF24" s="20" t="s">
        <v>60</v>
      </c>
      <c r="AG24" s="19" t="s">
        <v>60</v>
      </c>
      <c r="AH24" s="20" t="s">
        <v>60</v>
      </c>
      <c r="AI24" s="20" t="s">
        <v>60</v>
      </c>
      <c r="AJ24" s="30" t="s">
        <v>60</v>
      </c>
    </row>
    <row r="25" spans="2:36" ht="80" x14ac:dyDescent="0.2">
      <c r="B25" s="20" t="s">
        <v>191</v>
      </c>
      <c r="C25" s="19" t="s">
        <v>42</v>
      </c>
      <c r="D25" s="20" t="s">
        <v>192</v>
      </c>
      <c r="E25" s="20">
        <v>2021</v>
      </c>
      <c r="F25" s="21" t="s">
        <v>68</v>
      </c>
      <c r="G25" s="20" t="s">
        <v>193</v>
      </c>
      <c r="H25" s="19" t="s">
        <v>194</v>
      </c>
      <c r="I25" s="24" t="s">
        <v>195</v>
      </c>
      <c r="J25" s="20">
        <v>28662034</v>
      </c>
      <c r="K25" s="20" t="s">
        <v>196</v>
      </c>
      <c r="L25" s="20" t="s">
        <v>48</v>
      </c>
      <c r="M25" s="20" t="s">
        <v>197</v>
      </c>
      <c r="N25" s="20" t="s">
        <v>50</v>
      </c>
      <c r="O25" s="20" t="s">
        <v>198</v>
      </c>
      <c r="P25" s="20" t="s">
        <v>52</v>
      </c>
      <c r="Q25" s="20" t="s">
        <v>60</v>
      </c>
      <c r="R25" s="20" t="s">
        <v>54</v>
      </c>
      <c r="S25" s="22" t="s">
        <v>199</v>
      </c>
      <c r="T25" s="22" t="s">
        <v>200</v>
      </c>
      <c r="U25" s="20" t="s">
        <v>66</v>
      </c>
      <c r="V25" s="20" t="s">
        <v>201</v>
      </c>
      <c r="W25" s="21" t="s">
        <v>66</v>
      </c>
      <c r="X25" s="20">
        <v>377</v>
      </c>
      <c r="Y25" s="19" t="s">
        <v>58</v>
      </c>
      <c r="Z25" s="20" t="s">
        <v>59</v>
      </c>
      <c r="AA25" s="20">
        <v>213</v>
      </c>
      <c r="AB25" s="20">
        <v>101</v>
      </c>
      <c r="AC25" s="20">
        <v>63</v>
      </c>
      <c r="AD25" s="20">
        <v>163</v>
      </c>
      <c r="AE25" s="21">
        <v>214</v>
      </c>
      <c r="AF25" s="20" t="s">
        <v>60</v>
      </c>
      <c r="AG25" s="19" t="s">
        <v>60</v>
      </c>
      <c r="AH25" s="20" t="s">
        <v>53</v>
      </c>
      <c r="AI25" s="20" t="s">
        <v>60</v>
      </c>
      <c r="AJ25" s="30" t="s">
        <v>60</v>
      </c>
    </row>
    <row r="26" spans="2:36" ht="80" hidden="1" x14ac:dyDescent="0.2">
      <c r="B26" s="20" t="s">
        <v>202</v>
      </c>
      <c r="C26" s="19" t="s">
        <v>42</v>
      </c>
      <c r="D26" s="20" t="s">
        <v>203</v>
      </c>
      <c r="E26" s="20">
        <v>2021</v>
      </c>
      <c r="F26" s="21" t="s">
        <v>44</v>
      </c>
      <c r="G26" s="20" t="s">
        <v>46</v>
      </c>
      <c r="H26" s="19" t="s">
        <v>204</v>
      </c>
      <c r="I26" s="24" t="s">
        <v>205</v>
      </c>
      <c r="J26" s="20">
        <v>29016288</v>
      </c>
      <c r="K26" s="20" t="s">
        <v>64</v>
      </c>
      <c r="L26" s="20" t="s">
        <v>48</v>
      </c>
      <c r="M26" s="20" t="s">
        <v>49</v>
      </c>
      <c r="N26" s="20" t="s">
        <v>50</v>
      </c>
      <c r="O26" s="20" t="s">
        <v>154</v>
      </c>
      <c r="P26" s="20" t="s">
        <v>52</v>
      </c>
      <c r="Q26" s="20" t="s">
        <v>53</v>
      </c>
      <c r="R26" s="20" t="s">
        <v>54</v>
      </c>
      <c r="S26" s="26" t="s">
        <v>206</v>
      </c>
      <c r="T26" s="26" t="s">
        <v>207</v>
      </c>
      <c r="U26" s="20" t="s">
        <v>86</v>
      </c>
      <c r="V26" s="20" t="s">
        <v>185</v>
      </c>
      <c r="W26" s="21" t="s">
        <v>66</v>
      </c>
      <c r="X26" s="20">
        <v>100</v>
      </c>
      <c r="Y26" s="19" t="s">
        <v>58</v>
      </c>
      <c r="Z26" s="20" t="s">
        <v>59</v>
      </c>
      <c r="AA26" s="20">
        <v>18</v>
      </c>
      <c r="AB26" s="20">
        <v>81</v>
      </c>
      <c r="AC26" s="20">
        <v>1</v>
      </c>
      <c r="AD26" s="20">
        <v>35</v>
      </c>
      <c r="AE26" s="21">
        <v>65</v>
      </c>
      <c r="AF26" s="20" t="s">
        <v>60</v>
      </c>
      <c r="AG26" s="19" t="s">
        <v>60</v>
      </c>
      <c r="AH26" s="20" t="s">
        <v>53</v>
      </c>
      <c r="AI26" s="20" t="s">
        <v>60</v>
      </c>
      <c r="AJ26" s="30" t="s">
        <v>60</v>
      </c>
    </row>
    <row r="27" spans="2:36" ht="32" hidden="1" x14ac:dyDescent="0.2">
      <c r="B27" s="20" t="s">
        <v>208</v>
      </c>
      <c r="C27" s="19" t="s">
        <v>42</v>
      </c>
      <c r="D27" s="20" t="s">
        <v>62</v>
      </c>
      <c r="E27" s="20">
        <v>2021</v>
      </c>
      <c r="F27" s="21" t="s">
        <v>68</v>
      </c>
      <c r="G27" s="20" t="s">
        <v>46</v>
      </c>
      <c r="H27" s="19" t="s">
        <v>46</v>
      </c>
      <c r="I27" s="20" t="s">
        <v>46</v>
      </c>
      <c r="J27" s="20" t="s">
        <v>46</v>
      </c>
      <c r="K27" s="20" t="s">
        <v>64</v>
      </c>
      <c r="L27" s="20" t="s">
        <v>48</v>
      </c>
      <c r="M27" s="20" t="s">
        <v>46</v>
      </c>
      <c r="N27" s="20" t="s">
        <v>46</v>
      </c>
      <c r="O27" s="20" t="s">
        <v>46</v>
      </c>
      <c r="P27" s="20" t="s">
        <v>209</v>
      </c>
      <c r="Q27" s="20" t="s">
        <v>46</v>
      </c>
      <c r="R27" s="20" t="s">
        <v>46</v>
      </c>
      <c r="S27" s="26" t="s">
        <v>46</v>
      </c>
      <c r="T27" s="26" t="s">
        <v>46</v>
      </c>
      <c r="U27" s="20" t="s">
        <v>46</v>
      </c>
      <c r="V27" s="20" t="s">
        <v>46</v>
      </c>
      <c r="W27" s="21" t="s">
        <v>46</v>
      </c>
      <c r="X27" s="20">
        <v>850</v>
      </c>
      <c r="Y27" s="19" t="s">
        <v>125</v>
      </c>
      <c r="Z27" s="20" t="s">
        <v>59</v>
      </c>
      <c r="AA27" s="20" t="s">
        <v>90</v>
      </c>
      <c r="AB27" s="20" t="s">
        <v>90</v>
      </c>
      <c r="AC27" s="20" t="s">
        <v>90</v>
      </c>
      <c r="AD27" s="20" t="s">
        <v>90</v>
      </c>
      <c r="AE27" s="21" t="s">
        <v>90</v>
      </c>
      <c r="AF27" s="20" t="s">
        <v>90</v>
      </c>
      <c r="AG27" s="19" t="s">
        <v>90</v>
      </c>
      <c r="AH27" s="20" t="s">
        <v>90</v>
      </c>
      <c r="AI27" s="20" t="s">
        <v>90</v>
      </c>
      <c r="AJ27" s="30" t="s">
        <v>90</v>
      </c>
    </row>
    <row r="28" spans="2:36" ht="32" hidden="1" x14ac:dyDescent="0.2">
      <c r="B28" s="20" t="s">
        <v>210</v>
      </c>
      <c r="C28" s="19" t="s">
        <v>42</v>
      </c>
      <c r="D28" s="20" t="s">
        <v>62</v>
      </c>
      <c r="E28" s="20">
        <v>2021</v>
      </c>
      <c r="F28" s="21" t="s">
        <v>68</v>
      </c>
      <c r="G28" s="20" t="s">
        <v>46</v>
      </c>
      <c r="H28" s="19" t="s">
        <v>46</v>
      </c>
      <c r="I28" s="20" t="s">
        <v>46</v>
      </c>
      <c r="J28" s="20" t="s">
        <v>46</v>
      </c>
      <c r="K28" s="20" t="s">
        <v>64</v>
      </c>
      <c r="L28" s="20" t="s">
        <v>48</v>
      </c>
      <c r="M28" s="20" t="s">
        <v>46</v>
      </c>
      <c r="N28" s="20" t="s">
        <v>46</v>
      </c>
      <c r="O28" s="20" t="s">
        <v>46</v>
      </c>
      <c r="P28" s="20" t="s">
        <v>209</v>
      </c>
      <c r="Q28" s="20" t="s">
        <v>46</v>
      </c>
      <c r="R28" s="20" t="s">
        <v>46</v>
      </c>
      <c r="S28" s="26" t="s">
        <v>46</v>
      </c>
      <c r="T28" s="26" t="s">
        <v>46</v>
      </c>
      <c r="U28" s="20" t="s">
        <v>46</v>
      </c>
      <c r="V28" s="20" t="s">
        <v>46</v>
      </c>
      <c r="W28" s="21" t="s">
        <v>46</v>
      </c>
      <c r="X28" s="20">
        <v>1800</v>
      </c>
      <c r="Y28" s="19" t="s">
        <v>125</v>
      </c>
      <c r="Z28" s="20" t="s">
        <v>59</v>
      </c>
      <c r="AA28" s="20" t="s">
        <v>90</v>
      </c>
      <c r="AB28" s="20" t="s">
        <v>90</v>
      </c>
      <c r="AC28" s="20" t="s">
        <v>90</v>
      </c>
      <c r="AD28" s="20" t="s">
        <v>90</v>
      </c>
      <c r="AE28" s="21" t="s">
        <v>90</v>
      </c>
      <c r="AF28" s="20" t="s">
        <v>90</v>
      </c>
      <c r="AG28" s="19" t="s">
        <v>90</v>
      </c>
      <c r="AH28" s="20" t="s">
        <v>90</v>
      </c>
      <c r="AI28" s="20" t="s">
        <v>90</v>
      </c>
      <c r="AJ28" s="30" t="s">
        <v>90</v>
      </c>
    </row>
    <row r="29" spans="2:36" ht="64" hidden="1" x14ac:dyDescent="0.2">
      <c r="B29" s="20" t="s">
        <v>211</v>
      </c>
      <c r="C29" s="19" t="s">
        <v>42</v>
      </c>
      <c r="D29" s="20" t="s">
        <v>212</v>
      </c>
      <c r="E29" s="20">
        <v>2021</v>
      </c>
      <c r="F29" s="21" t="s">
        <v>44</v>
      </c>
      <c r="G29" s="20" t="s">
        <v>46</v>
      </c>
      <c r="H29" s="19" t="s">
        <v>213</v>
      </c>
      <c r="I29" s="24" t="s">
        <v>214</v>
      </c>
      <c r="J29" s="20">
        <v>12594635</v>
      </c>
      <c r="K29" s="20" t="s">
        <v>215</v>
      </c>
      <c r="L29" s="20" t="s">
        <v>48</v>
      </c>
      <c r="M29" s="20" t="s">
        <v>216</v>
      </c>
      <c r="N29" s="20" t="s">
        <v>96</v>
      </c>
      <c r="O29" s="20" t="s">
        <v>87</v>
      </c>
      <c r="P29" s="20" t="s">
        <v>46</v>
      </c>
      <c r="Q29" s="20" t="s">
        <v>46</v>
      </c>
      <c r="R29" s="20" t="s">
        <v>46</v>
      </c>
      <c r="S29" s="26" t="s">
        <v>217</v>
      </c>
      <c r="T29" s="26" t="s">
        <v>218</v>
      </c>
      <c r="U29" s="20" t="s">
        <v>46</v>
      </c>
      <c r="V29" s="20" t="s">
        <v>219</v>
      </c>
      <c r="W29" s="21" t="s">
        <v>46</v>
      </c>
      <c r="X29" s="20">
        <v>52</v>
      </c>
      <c r="Y29" s="19" t="s">
        <v>58</v>
      </c>
      <c r="Z29" s="20" t="s">
        <v>59</v>
      </c>
      <c r="AA29" s="20">
        <v>36</v>
      </c>
      <c r="AB29" s="20">
        <v>16</v>
      </c>
      <c r="AC29" s="20">
        <v>0</v>
      </c>
      <c r="AD29" s="20">
        <v>23</v>
      </c>
      <c r="AE29" s="21">
        <v>29</v>
      </c>
      <c r="AF29" s="20" t="s">
        <v>60</v>
      </c>
      <c r="AG29" s="19" t="s">
        <v>60</v>
      </c>
      <c r="AH29" s="20" t="s">
        <v>53</v>
      </c>
      <c r="AI29" s="20" t="s">
        <v>60</v>
      </c>
      <c r="AJ29" s="30" t="s">
        <v>60</v>
      </c>
    </row>
    <row r="30" spans="2:36" ht="32" hidden="1" x14ac:dyDescent="0.2">
      <c r="B30" s="20" t="s">
        <v>220</v>
      </c>
      <c r="C30" s="19" t="s">
        <v>42</v>
      </c>
      <c r="D30" s="20" t="s">
        <v>62</v>
      </c>
      <c r="E30" s="20">
        <v>2021</v>
      </c>
      <c r="F30" s="21" t="s">
        <v>68</v>
      </c>
      <c r="G30" s="20" t="s">
        <v>46</v>
      </c>
      <c r="H30" s="19" t="s">
        <v>46</v>
      </c>
      <c r="I30" s="20" t="s">
        <v>46</v>
      </c>
      <c r="J30" s="20" t="s">
        <v>46</v>
      </c>
      <c r="K30" s="20" t="s">
        <v>64</v>
      </c>
      <c r="L30" s="20" t="s">
        <v>48</v>
      </c>
      <c r="M30" s="20" t="s">
        <v>49</v>
      </c>
      <c r="N30" s="20" t="s">
        <v>50</v>
      </c>
      <c r="O30" s="20" t="s">
        <v>221</v>
      </c>
      <c r="P30" s="20" t="s">
        <v>209</v>
      </c>
      <c r="Q30" s="20" t="s">
        <v>156</v>
      </c>
      <c r="R30" s="20" t="s">
        <v>156</v>
      </c>
      <c r="S30" s="26" t="s">
        <v>46</v>
      </c>
      <c r="T30" s="26" t="s">
        <v>46</v>
      </c>
      <c r="U30" s="20" t="s">
        <v>46</v>
      </c>
      <c r="V30" s="20" t="s">
        <v>46</v>
      </c>
      <c r="W30" s="21" t="s">
        <v>46</v>
      </c>
      <c r="X30" s="20">
        <v>573</v>
      </c>
      <c r="Y30" s="19" t="s">
        <v>58</v>
      </c>
      <c r="Z30" s="20" t="s">
        <v>59</v>
      </c>
      <c r="AA30" s="20">
        <v>45</v>
      </c>
      <c r="AB30" s="20">
        <v>117</v>
      </c>
      <c r="AC30" s="20">
        <v>411</v>
      </c>
      <c r="AD30" s="20">
        <v>230</v>
      </c>
      <c r="AE30" s="21">
        <v>343</v>
      </c>
      <c r="AF30" s="20" t="s">
        <v>60</v>
      </c>
      <c r="AG30" s="19" t="s">
        <v>60</v>
      </c>
      <c r="AH30" s="20" t="s">
        <v>60</v>
      </c>
      <c r="AI30" s="20" t="s">
        <v>60</v>
      </c>
      <c r="AJ30" s="30" t="s">
        <v>60</v>
      </c>
    </row>
    <row r="31" spans="2:36" ht="48" hidden="1" x14ac:dyDescent="0.2">
      <c r="B31" s="20" t="s">
        <v>222</v>
      </c>
      <c r="C31" s="19" t="s">
        <v>42</v>
      </c>
      <c r="D31" s="20" t="s">
        <v>203</v>
      </c>
      <c r="E31" s="20">
        <v>2022</v>
      </c>
      <c r="F31" s="21" t="s">
        <v>44</v>
      </c>
      <c r="G31" s="20" t="s">
        <v>223</v>
      </c>
      <c r="H31" s="19" t="s">
        <v>224</v>
      </c>
      <c r="I31" s="23" t="s">
        <v>225</v>
      </c>
      <c r="J31" s="20">
        <v>21129762</v>
      </c>
      <c r="K31" s="20" t="s">
        <v>64</v>
      </c>
      <c r="L31" s="20" t="s">
        <v>48</v>
      </c>
      <c r="M31" s="20" t="s">
        <v>104</v>
      </c>
      <c r="N31" s="20" t="s">
        <v>105</v>
      </c>
      <c r="O31" s="20" t="s">
        <v>221</v>
      </c>
      <c r="P31" s="20" t="s">
        <v>52</v>
      </c>
      <c r="Q31" s="20" t="s">
        <v>53</v>
      </c>
      <c r="R31" s="20" t="s">
        <v>54</v>
      </c>
      <c r="S31" s="26" t="s">
        <v>226</v>
      </c>
      <c r="T31" s="26" t="s">
        <v>227</v>
      </c>
      <c r="U31" s="20" t="s">
        <v>55</v>
      </c>
      <c r="V31" s="20" t="s">
        <v>56</v>
      </c>
      <c r="W31" s="21" t="s">
        <v>120</v>
      </c>
      <c r="X31" s="20">
        <v>32</v>
      </c>
      <c r="Y31" s="19" t="s">
        <v>58</v>
      </c>
      <c r="Z31" s="20" t="s">
        <v>59</v>
      </c>
      <c r="AA31" s="20">
        <v>0</v>
      </c>
      <c r="AB31" s="20">
        <v>13</v>
      </c>
      <c r="AC31" s="20">
        <v>19</v>
      </c>
      <c r="AD31" s="20">
        <v>7</v>
      </c>
      <c r="AE31" s="21">
        <v>25</v>
      </c>
      <c r="AF31" s="20" t="s">
        <v>60</v>
      </c>
      <c r="AG31" s="19" t="s">
        <v>60</v>
      </c>
      <c r="AH31" s="20" t="s">
        <v>53</v>
      </c>
      <c r="AI31" s="20" t="s">
        <v>60</v>
      </c>
      <c r="AJ31" s="30" t="s">
        <v>53</v>
      </c>
    </row>
    <row r="32" spans="2:36" ht="112" hidden="1" x14ac:dyDescent="0.2">
      <c r="B32" s="20" t="s">
        <v>228</v>
      </c>
      <c r="C32" s="19" t="s">
        <v>42</v>
      </c>
      <c r="D32" s="20" t="s">
        <v>203</v>
      </c>
      <c r="E32" s="20">
        <v>2021</v>
      </c>
      <c r="F32" s="21" t="s">
        <v>44</v>
      </c>
      <c r="G32" s="20" t="s">
        <v>46</v>
      </c>
      <c r="H32" s="19" t="s">
        <v>229</v>
      </c>
      <c r="I32" s="20" t="s">
        <v>156</v>
      </c>
      <c r="J32" s="20">
        <v>19436614</v>
      </c>
      <c r="K32" s="20" t="s">
        <v>64</v>
      </c>
      <c r="L32" s="20" t="s">
        <v>48</v>
      </c>
      <c r="M32" s="20" t="s">
        <v>230</v>
      </c>
      <c r="N32" s="20" t="s">
        <v>231</v>
      </c>
      <c r="O32" s="20" t="s">
        <v>87</v>
      </c>
      <c r="P32" s="20" t="s">
        <v>52</v>
      </c>
      <c r="Q32" s="20" t="s">
        <v>60</v>
      </c>
      <c r="R32" s="20" t="s">
        <v>54</v>
      </c>
      <c r="S32" s="20">
        <v>2002</v>
      </c>
      <c r="T32" s="20">
        <v>2002</v>
      </c>
      <c r="U32" s="20" t="s">
        <v>232</v>
      </c>
      <c r="V32" s="20" t="s">
        <v>141</v>
      </c>
      <c r="W32" s="21" t="s">
        <v>66</v>
      </c>
      <c r="X32" s="20">
        <v>82</v>
      </c>
      <c r="Y32" s="19" t="s">
        <v>58</v>
      </c>
      <c r="Z32" s="20" t="s">
        <v>59</v>
      </c>
      <c r="AA32" s="20">
        <v>0</v>
      </c>
      <c r="AB32" s="20">
        <v>42</v>
      </c>
      <c r="AC32" s="20">
        <v>40</v>
      </c>
      <c r="AD32" s="20">
        <v>29</v>
      </c>
      <c r="AE32" s="21">
        <v>53</v>
      </c>
      <c r="AF32" s="20" t="s">
        <v>60</v>
      </c>
      <c r="AG32" s="19" t="s">
        <v>60</v>
      </c>
      <c r="AH32" s="20" t="s">
        <v>53</v>
      </c>
      <c r="AI32" s="20" t="s">
        <v>60</v>
      </c>
      <c r="AJ32" s="30" t="s">
        <v>53</v>
      </c>
    </row>
    <row r="33" spans="2:36" ht="48" hidden="1" x14ac:dyDescent="0.2">
      <c r="B33" s="20" t="s">
        <v>233</v>
      </c>
      <c r="C33" s="19" t="s">
        <v>42</v>
      </c>
      <c r="D33" s="20" t="s">
        <v>62</v>
      </c>
      <c r="E33" s="20">
        <v>2022</v>
      </c>
      <c r="F33" s="21" t="s">
        <v>44</v>
      </c>
      <c r="G33" s="20" t="s">
        <v>46</v>
      </c>
      <c r="H33" s="19" t="s">
        <v>46</v>
      </c>
      <c r="I33" s="20" t="s">
        <v>46</v>
      </c>
      <c r="J33" s="20" t="s">
        <v>46</v>
      </c>
      <c r="K33" s="20" t="s">
        <v>64</v>
      </c>
      <c r="L33" s="20" t="s">
        <v>148</v>
      </c>
      <c r="M33" s="20" t="s">
        <v>104</v>
      </c>
      <c r="N33" s="20" t="s">
        <v>105</v>
      </c>
      <c r="O33" s="20" t="s">
        <v>46</v>
      </c>
      <c r="P33" s="20" t="s">
        <v>52</v>
      </c>
      <c r="Q33" s="20" t="s">
        <v>46</v>
      </c>
      <c r="R33" s="20" t="s">
        <v>46</v>
      </c>
      <c r="S33" s="22">
        <v>43064</v>
      </c>
      <c r="T33" s="26" t="s">
        <v>46</v>
      </c>
      <c r="U33" s="20" t="s">
        <v>46</v>
      </c>
      <c r="V33" s="20" t="s">
        <v>46</v>
      </c>
      <c r="W33" s="21" t="s">
        <v>46</v>
      </c>
      <c r="X33" s="20">
        <v>50</v>
      </c>
      <c r="Y33" s="19" t="s">
        <v>89</v>
      </c>
      <c r="Z33" s="20" t="s">
        <v>59</v>
      </c>
      <c r="AA33" s="20" t="s">
        <v>90</v>
      </c>
      <c r="AB33" s="20" t="s">
        <v>90</v>
      </c>
      <c r="AC33" s="20" t="s">
        <v>90</v>
      </c>
      <c r="AD33" s="20" t="s">
        <v>90</v>
      </c>
      <c r="AE33" s="21" t="s">
        <v>90</v>
      </c>
      <c r="AF33" s="20" t="s">
        <v>90</v>
      </c>
      <c r="AG33" s="19" t="s">
        <v>90</v>
      </c>
      <c r="AH33" s="20" t="s">
        <v>90</v>
      </c>
      <c r="AI33" s="20" t="s">
        <v>90</v>
      </c>
      <c r="AJ33" s="30" t="s">
        <v>90</v>
      </c>
    </row>
    <row r="34" spans="2:36" ht="96" hidden="1" x14ac:dyDescent="0.2">
      <c r="B34" s="20" t="s">
        <v>234</v>
      </c>
      <c r="C34" s="19" t="s">
        <v>42</v>
      </c>
      <c r="D34" s="20" t="s">
        <v>203</v>
      </c>
      <c r="E34" s="20">
        <v>2021</v>
      </c>
      <c r="F34" s="21" t="s">
        <v>44</v>
      </c>
      <c r="G34" s="20" t="s">
        <v>235</v>
      </c>
      <c r="H34" s="19" t="s">
        <v>236</v>
      </c>
      <c r="I34" s="24" t="s">
        <v>237</v>
      </c>
      <c r="J34" s="20">
        <v>33580944</v>
      </c>
      <c r="K34" s="20" t="s">
        <v>64</v>
      </c>
      <c r="L34" s="20" t="s">
        <v>148</v>
      </c>
      <c r="M34" s="20" t="s">
        <v>104</v>
      </c>
      <c r="N34" s="20" t="s">
        <v>105</v>
      </c>
      <c r="O34" s="20" t="s">
        <v>238</v>
      </c>
      <c r="P34" s="20" t="s">
        <v>52</v>
      </c>
      <c r="Q34" s="20" t="s">
        <v>60</v>
      </c>
      <c r="R34" s="20" t="s">
        <v>54</v>
      </c>
      <c r="S34" s="26" t="s">
        <v>239</v>
      </c>
      <c r="T34" s="26" t="s">
        <v>240</v>
      </c>
      <c r="U34" s="20" t="s">
        <v>65</v>
      </c>
      <c r="V34" s="20" t="s">
        <v>56</v>
      </c>
      <c r="W34" s="21" t="s">
        <v>241</v>
      </c>
      <c r="X34" s="20">
        <v>100</v>
      </c>
      <c r="Y34" s="19" t="s">
        <v>58</v>
      </c>
      <c r="Z34" s="20" t="s">
        <v>59</v>
      </c>
      <c r="AA34" s="20">
        <v>1</v>
      </c>
      <c r="AB34" s="20">
        <v>34</v>
      </c>
      <c r="AC34" s="20">
        <v>65</v>
      </c>
      <c r="AD34" s="20">
        <v>44</v>
      </c>
      <c r="AE34" s="21">
        <v>56</v>
      </c>
      <c r="AF34" s="20" t="s">
        <v>60</v>
      </c>
      <c r="AG34" s="19" t="s">
        <v>53</v>
      </c>
      <c r="AH34" s="20" t="s">
        <v>53</v>
      </c>
      <c r="AI34" s="20" t="s">
        <v>53</v>
      </c>
      <c r="AJ34" s="30" t="s">
        <v>60</v>
      </c>
    </row>
    <row r="35" spans="2:36" ht="64" hidden="1" x14ac:dyDescent="0.2">
      <c r="B35" s="20" t="s">
        <v>242</v>
      </c>
      <c r="C35" s="19" t="s">
        <v>42</v>
      </c>
      <c r="D35" s="20" t="s">
        <v>203</v>
      </c>
      <c r="E35" s="20">
        <v>2021</v>
      </c>
      <c r="F35" s="21" t="s">
        <v>44</v>
      </c>
      <c r="G35" s="20" t="s">
        <v>243</v>
      </c>
      <c r="H35" s="19" t="s">
        <v>244</v>
      </c>
      <c r="I35" s="24" t="s">
        <v>245</v>
      </c>
      <c r="J35" s="20">
        <v>28355259</v>
      </c>
      <c r="K35" s="20" t="s">
        <v>64</v>
      </c>
      <c r="L35" s="20" t="s">
        <v>148</v>
      </c>
      <c r="M35" s="20" t="s">
        <v>49</v>
      </c>
      <c r="N35" s="20" t="s">
        <v>50</v>
      </c>
      <c r="O35" s="20" t="s">
        <v>221</v>
      </c>
      <c r="P35" s="20" t="s">
        <v>52</v>
      </c>
      <c r="Q35" s="20" t="s">
        <v>60</v>
      </c>
      <c r="R35" s="20" t="s">
        <v>54</v>
      </c>
      <c r="S35" s="22">
        <v>41764</v>
      </c>
      <c r="T35" s="22">
        <v>42404</v>
      </c>
      <c r="U35" s="20" t="s">
        <v>65</v>
      </c>
      <c r="V35" s="20" t="s">
        <v>141</v>
      </c>
      <c r="W35" s="21" t="s">
        <v>241</v>
      </c>
      <c r="X35" s="20">
        <v>50</v>
      </c>
      <c r="Y35" s="19" t="s">
        <v>89</v>
      </c>
      <c r="Z35" s="20" t="s">
        <v>59</v>
      </c>
      <c r="AA35" s="20" t="s">
        <v>90</v>
      </c>
      <c r="AB35" s="20" t="s">
        <v>90</v>
      </c>
      <c r="AC35" s="20" t="s">
        <v>90</v>
      </c>
      <c r="AD35" s="20" t="s">
        <v>90</v>
      </c>
      <c r="AE35" s="21">
        <v>24</v>
      </c>
      <c r="AF35" s="20" t="s">
        <v>90</v>
      </c>
      <c r="AG35" s="19" t="s">
        <v>90</v>
      </c>
      <c r="AH35" s="20" t="s">
        <v>90</v>
      </c>
      <c r="AI35" s="20" t="s">
        <v>90</v>
      </c>
      <c r="AJ35" s="30" t="s">
        <v>90</v>
      </c>
    </row>
    <row r="36" spans="2:36" ht="64" hidden="1" x14ac:dyDescent="0.2">
      <c r="B36" s="20" t="s">
        <v>246</v>
      </c>
      <c r="C36" s="19" t="s">
        <v>42</v>
      </c>
      <c r="D36" s="20" t="s">
        <v>212</v>
      </c>
      <c r="E36" s="20">
        <v>2021</v>
      </c>
      <c r="F36" s="21" t="s">
        <v>44</v>
      </c>
      <c r="G36" s="20" t="s">
        <v>46</v>
      </c>
      <c r="H36" s="19" t="s">
        <v>213</v>
      </c>
      <c r="I36" s="24" t="s">
        <v>214</v>
      </c>
      <c r="J36" s="20">
        <v>12594635</v>
      </c>
      <c r="K36" s="20" t="s">
        <v>215</v>
      </c>
      <c r="L36" s="20" t="s">
        <v>48</v>
      </c>
      <c r="M36" s="20" t="s">
        <v>49</v>
      </c>
      <c r="N36" s="20" t="s">
        <v>50</v>
      </c>
      <c r="O36" s="20" t="s">
        <v>247</v>
      </c>
      <c r="P36" s="20" t="s">
        <v>52</v>
      </c>
      <c r="Q36" s="20" t="s">
        <v>53</v>
      </c>
      <c r="R36" s="20" t="s">
        <v>54</v>
      </c>
      <c r="S36" s="26" t="s">
        <v>248</v>
      </c>
      <c r="T36" s="26" t="s">
        <v>249</v>
      </c>
      <c r="U36" s="20" t="s">
        <v>46</v>
      </c>
      <c r="V36" s="20" t="s">
        <v>219</v>
      </c>
      <c r="W36" s="21" t="s">
        <v>66</v>
      </c>
      <c r="X36" s="20">
        <v>71</v>
      </c>
      <c r="Y36" s="19" t="s">
        <v>58</v>
      </c>
      <c r="Z36" s="20" t="s">
        <v>59</v>
      </c>
      <c r="AA36" s="20">
        <v>0</v>
      </c>
      <c r="AB36" s="20">
        <v>15</v>
      </c>
      <c r="AC36" s="20">
        <v>56</v>
      </c>
      <c r="AD36" s="20">
        <v>37</v>
      </c>
      <c r="AE36" s="21">
        <v>34</v>
      </c>
      <c r="AF36" s="20" t="s">
        <v>60</v>
      </c>
      <c r="AG36" s="19" t="s">
        <v>60</v>
      </c>
      <c r="AH36" s="20" t="s">
        <v>53</v>
      </c>
      <c r="AI36" s="20" t="s">
        <v>60</v>
      </c>
      <c r="AJ36" s="30" t="s">
        <v>60</v>
      </c>
    </row>
    <row r="37" spans="2:36" ht="32" hidden="1" x14ac:dyDescent="0.2">
      <c r="B37" s="20" t="s">
        <v>250</v>
      </c>
      <c r="C37" s="19" t="s">
        <v>42</v>
      </c>
      <c r="D37" s="20" t="s">
        <v>62</v>
      </c>
      <c r="E37" s="20">
        <v>2021</v>
      </c>
      <c r="F37" s="21" t="s">
        <v>68</v>
      </c>
      <c r="G37" s="20" t="s">
        <v>46</v>
      </c>
      <c r="H37" s="19" t="s">
        <v>46</v>
      </c>
      <c r="I37" s="20" t="s">
        <v>46</v>
      </c>
      <c r="J37" s="20" t="s">
        <v>46</v>
      </c>
      <c r="K37" s="20" t="s">
        <v>64</v>
      </c>
      <c r="L37" s="20" t="s">
        <v>48</v>
      </c>
      <c r="M37" s="20" t="s">
        <v>46</v>
      </c>
      <c r="N37" s="20" t="s">
        <v>46</v>
      </c>
      <c r="O37" s="20" t="s">
        <v>46</v>
      </c>
      <c r="P37" s="20" t="s">
        <v>209</v>
      </c>
      <c r="Q37" s="20" t="s">
        <v>46</v>
      </c>
      <c r="R37" s="20" t="s">
        <v>46</v>
      </c>
      <c r="S37" s="26" t="s">
        <v>46</v>
      </c>
      <c r="T37" s="26" t="s">
        <v>46</v>
      </c>
      <c r="U37" s="20" t="s">
        <v>46</v>
      </c>
      <c r="V37" s="20" t="s">
        <v>46</v>
      </c>
      <c r="W37" s="21" t="s">
        <v>46</v>
      </c>
      <c r="X37" s="20">
        <v>1823</v>
      </c>
      <c r="Y37" s="19" t="s">
        <v>125</v>
      </c>
      <c r="Z37" s="20" t="s">
        <v>59</v>
      </c>
      <c r="AA37" s="20" t="s">
        <v>90</v>
      </c>
      <c r="AB37" s="20" t="s">
        <v>90</v>
      </c>
      <c r="AC37" s="20" t="s">
        <v>90</v>
      </c>
      <c r="AD37" s="20" t="s">
        <v>90</v>
      </c>
      <c r="AE37" s="21" t="s">
        <v>90</v>
      </c>
      <c r="AF37" s="20" t="s">
        <v>90</v>
      </c>
      <c r="AG37" s="19" t="s">
        <v>90</v>
      </c>
      <c r="AH37" s="20" t="s">
        <v>90</v>
      </c>
      <c r="AI37" s="20" t="s">
        <v>90</v>
      </c>
      <c r="AJ37" s="30" t="s">
        <v>90</v>
      </c>
    </row>
    <row r="38" spans="2:36" ht="32" hidden="1" x14ac:dyDescent="0.2">
      <c r="B38" s="20" t="s">
        <v>251</v>
      </c>
      <c r="C38" s="19" t="s">
        <v>42</v>
      </c>
      <c r="D38" s="20" t="s">
        <v>252</v>
      </c>
      <c r="E38" s="20">
        <v>2022</v>
      </c>
      <c r="F38" s="21" t="s">
        <v>68</v>
      </c>
      <c r="G38" s="20" t="s">
        <v>46</v>
      </c>
      <c r="H38" s="19" t="s">
        <v>46</v>
      </c>
      <c r="I38" s="20" t="s">
        <v>46</v>
      </c>
      <c r="J38" s="20" t="s">
        <v>46</v>
      </c>
      <c r="K38" s="20" t="s">
        <v>137</v>
      </c>
      <c r="L38" s="20" t="s">
        <v>48</v>
      </c>
      <c r="M38" s="20" t="s">
        <v>46</v>
      </c>
      <c r="N38" s="20" t="s">
        <v>46</v>
      </c>
      <c r="O38" s="20" t="s">
        <v>46</v>
      </c>
      <c r="P38" s="20" t="s">
        <v>209</v>
      </c>
      <c r="Q38" s="20" t="s">
        <v>46</v>
      </c>
      <c r="R38" s="20" t="s">
        <v>46</v>
      </c>
      <c r="S38" s="22">
        <v>38409</v>
      </c>
      <c r="T38" s="26" t="s">
        <v>46</v>
      </c>
      <c r="U38" s="20" t="s">
        <v>46</v>
      </c>
      <c r="V38" s="20" t="s">
        <v>46</v>
      </c>
      <c r="W38" s="21" t="s">
        <v>46</v>
      </c>
      <c r="X38" s="20">
        <v>2686</v>
      </c>
      <c r="Y38" s="19" t="s">
        <v>125</v>
      </c>
      <c r="Z38" s="20" t="s">
        <v>59</v>
      </c>
      <c r="AA38" s="20" t="s">
        <v>90</v>
      </c>
      <c r="AB38" s="20" t="s">
        <v>90</v>
      </c>
      <c r="AC38" s="20" t="s">
        <v>90</v>
      </c>
      <c r="AD38" s="20" t="s">
        <v>90</v>
      </c>
      <c r="AE38" s="21" t="s">
        <v>90</v>
      </c>
      <c r="AF38" s="20" t="s">
        <v>90</v>
      </c>
      <c r="AG38" s="19" t="s">
        <v>90</v>
      </c>
      <c r="AH38" s="20" t="s">
        <v>90</v>
      </c>
      <c r="AI38" s="20" t="s">
        <v>90</v>
      </c>
      <c r="AJ38" s="30" t="s">
        <v>90</v>
      </c>
    </row>
    <row r="39" spans="2:36" ht="64" hidden="1" x14ac:dyDescent="0.2">
      <c r="B39" s="20" t="s">
        <v>253</v>
      </c>
      <c r="C39" s="19" t="s">
        <v>42</v>
      </c>
      <c r="D39" s="20" t="s">
        <v>203</v>
      </c>
      <c r="E39" s="20">
        <v>2021</v>
      </c>
      <c r="F39" s="21" t="s">
        <v>44</v>
      </c>
      <c r="G39" s="20" t="s">
        <v>46</v>
      </c>
      <c r="H39" s="19" t="s">
        <v>254</v>
      </c>
      <c r="I39" s="24" t="s">
        <v>255</v>
      </c>
      <c r="J39" s="20">
        <v>27645786</v>
      </c>
      <c r="K39" s="20" t="s">
        <v>64</v>
      </c>
      <c r="L39" s="20" t="s">
        <v>48</v>
      </c>
      <c r="M39" s="20" t="s">
        <v>122</v>
      </c>
      <c r="N39" s="20" t="s">
        <v>123</v>
      </c>
      <c r="O39" s="20" t="s">
        <v>124</v>
      </c>
      <c r="P39" s="20" t="s">
        <v>52</v>
      </c>
      <c r="Q39" s="20" t="s">
        <v>53</v>
      </c>
      <c r="R39" s="20" t="s">
        <v>54</v>
      </c>
      <c r="S39" s="26" t="s">
        <v>256</v>
      </c>
      <c r="T39" s="26" t="s">
        <v>200</v>
      </c>
      <c r="U39" s="20" t="s">
        <v>232</v>
      </c>
      <c r="V39" s="20" t="s">
        <v>257</v>
      </c>
      <c r="W39" s="21" t="s">
        <v>66</v>
      </c>
      <c r="X39" s="20">
        <v>646</v>
      </c>
      <c r="Y39" s="19" t="s">
        <v>58</v>
      </c>
      <c r="Z39" s="20" t="s">
        <v>59</v>
      </c>
      <c r="AA39" s="20">
        <v>0</v>
      </c>
      <c r="AB39" s="20">
        <v>213</v>
      </c>
      <c r="AC39" s="20">
        <v>433</v>
      </c>
      <c r="AD39" s="20">
        <v>271</v>
      </c>
      <c r="AE39" s="21">
        <v>375</v>
      </c>
      <c r="AF39" s="20" t="s">
        <v>60</v>
      </c>
      <c r="AG39" s="19" t="s">
        <v>60</v>
      </c>
      <c r="AH39" s="20" t="s">
        <v>53</v>
      </c>
      <c r="AI39" s="20" t="s">
        <v>60</v>
      </c>
      <c r="AJ39" s="30" t="s">
        <v>60</v>
      </c>
    </row>
    <row r="40" spans="2:36" ht="32" hidden="1" x14ac:dyDescent="0.2">
      <c r="B40" s="20" t="s">
        <v>258</v>
      </c>
      <c r="C40" s="19" t="s">
        <v>42</v>
      </c>
      <c r="D40" s="20" t="s">
        <v>62</v>
      </c>
      <c r="E40" s="20">
        <v>2020</v>
      </c>
      <c r="F40" s="21" t="s">
        <v>44</v>
      </c>
      <c r="G40" s="20" t="s">
        <v>46</v>
      </c>
      <c r="H40" s="19" t="s">
        <v>46</v>
      </c>
      <c r="I40" s="20" t="s">
        <v>46</v>
      </c>
      <c r="J40" s="20" t="s">
        <v>46</v>
      </c>
      <c r="K40" s="20" t="s">
        <v>64</v>
      </c>
      <c r="L40" s="20" t="s">
        <v>48</v>
      </c>
      <c r="M40" s="20" t="s">
        <v>49</v>
      </c>
      <c r="N40" s="20" t="s">
        <v>50</v>
      </c>
      <c r="O40" s="20" t="s">
        <v>46</v>
      </c>
      <c r="P40" s="20" t="s">
        <v>46</v>
      </c>
      <c r="Q40" s="20" t="s">
        <v>46</v>
      </c>
      <c r="R40" s="20" t="s">
        <v>46</v>
      </c>
      <c r="S40" s="26" t="s">
        <v>46</v>
      </c>
      <c r="T40" s="26" t="s">
        <v>46</v>
      </c>
      <c r="U40" s="20" t="s">
        <v>46</v>
      </c>
      <c r="V40" s="20" t="s">
        <v>46</v>
      </c>
      <c r="W40" s="21" t="s">
        <v>66</v>
      </c>
      <c r="X40" s="20">
        <v>39</v>
      </c>
      <c r="Y40" s="19" t="s">
        <v>89</v>
      </c>
      <c r="Z40" s="20" t="s">
        <v>59</v>
      </c>
      <c r="AA40" s="20" t="s">
        <v>90</v>
      </c>
      <c r="AB40" s="20" t="s">
        <v>90</v>
      </c>
      <c r="AC40" s="20" t="s">
        <v>90</v>
      </c>
      <c r="AD40" s="20" t="s">
        <v>90</v>
      </c>
      <c r="AE40" s="21">
        <v>13</v>
      </c>
      <c r="AF40" s="20" t="s">
        <v>90</v>
      </c>
      <c r="AG40" s="19" t="s">
        <v>90</v>
      </c>
      <c r="AH40" s="20" t="s">
        <v>90</v>
      </c>
      <c r="AI40" s="20" t="s">
        <v>90</v>
      </c>
      <c r="AJ40" s="30" t="s">
        <v>90</v>
      </c>
    </row>
    <row r="41" spans="2:36" ht="112" hidden="1" x14ac:dyDescent="0.2">
      <c r="B41" s="20" t="s">
        <v>259</v>
      </c>
      <c r="C41" s="19" t="s">
        <v>42</v>
      </c>
      <c r="D41" s="20" t="s">
        <v>43</v>
      </c>
      <c r="E41" s="20">
        <v>2019</v>
      </c>
      <c r="F41" s="21" t="s">
        <v>68</v>
      </c>
      <c r="G41" s="20" t="s">
        <v>260</v>
      </c>
      <c r="H41" s="19" t="s">
        <v>261</v>
      </c>
      <c r="I41" s="24" t="s">
        <v>262</v>
      </c>
      <c r="J41" s="20">
        <v>30188978</v>
      </c>
      <c r="K41" s="20" t="s">
        <v>263</v>
      </c>
      <c r="L41" s="20" t="s">
        <v>48</v>
      </c>
      <c r="M41" s="20" t="s">
        <v>122</v>
      </c>
      <c r="N41" s="20" t="s">
        <v>123</v>
      </c>
      <c r="O41" s="20" t="s">
        <v>124</v>
      </c>
      <c r="P41" s="20" t="s">
        <v>52</v>
      </c>
      <c r="Q41" s="20" t="s">
        <v>53</v>
      </c>
      <c r="R41" s="20" t="s">
        <v>54</v>
      </c>
      <c r="S41" s="26" t="s">
        <v>264</v>
      </c>
      <c r="T41" s="26" t="s">
        <v>265</v>
      </c>
      <c r="U41" s="20" t="s">
        <v>76</v>
      </c>
      <c r="V41" s="20" t="s">
        <v>110</v>
      </c>
      <c r="W41" s="21" t="s">
        <v>66</v>
      </c>
      <c r="X41" s="20">
        <v>30</v>
      </c>
      <c r="Y41" s="19" t="s">
        <v>58</v>
      </c>
      <c r="Z41" s="20" t="s">
        <v>59</v>
      </c>
      <c r="AA41" s="20">
        <v>3</v>
      </c>
      <c r="AB41" s="20">
        <v>27</v>
      </c>
      <c r="AC41" s="20">
        <v>0</v>
      </c>
      <c r="AD41" s="20">
        <v>8</v>
      </c>
      <c r="AE41" s="21">
        <v>22</v>
      </c>
      <c r="AF41" s="20" t="s">
        <v>60</v>
      </c>
      <c r="AG41" s="19" t="s">
        <v>60</v>
      </c>
      <c r="AH41" s="20" t="s">
        <v>53</v>
      </c>
      <c r="AI41" s="20" t="s">
        <v>60</v>
      </c>
      <c r="AJ41" s="30" t="s">
        <v>60</v>
      </c>
    </row>
    <row r="42" spans="2:36" ht="96" hidden="1" x14ac:dyDescent="0.2">
      <c r="B42" s="20" t="s">
        <v>266</v>
      </c>
      <c r="C42" s="19" t="s">
        <v>42</v>
      </c>
      <c r="D42" s="20" t="s">
        <v>178</v>
      </c>
      <c r="E42" s="20">
        <v>2018</v>
      </c>
      <c r="F42" s="21" t="s">
        <v>68</v>
      </c>
      <c r="G42" s="20" t="s">
        <v>46</v>
      </c>
      <c r="H42" s="19" t="s">
        <v>267</v>
      </c>
      <c r="I42" s="24" t="s">
        <v>268</v>
      </c>
      <c r="J42" s="20">
        <v>10886792</v>
      </c>
      <c r="K42" s="20" t="s">
        <v>137</v>
      </c>
      <c r="L42" s="20" t="s">
        <v>48</v>
      </c>
      <c r="M42" s="20" t="s">
        <v>269</v>
      </c>
      <c r="N42" s="20" t="s">
        <v>96</v>
      </c>
      <c r="O42" s="20" t="s">
        <v>87</v>
      </c>
      <c r="P42" s="20" t="s">
        <v>52</v>
      </c>
      <c r="Q42" s="20" t="s">
        <v>60</v>
      </c>
      <c r="R42" s="20" t="s">
        <v>54</v>
      </c>
      <c r="S42" s="22">
        <v>36129</v>
      </c>
      <c r="T42" s="22">
        <v>36160</v>
      </c>
      <c r="U42" s="20" t="s">
        <v>46</v>
      </c>
      <c r="V42" s="20" t="s">
        <v>46</v>
      </c>
      <c r="W42" s="21" t="s">
        <v>66</v>
      </c>
      <c r="X42" s="20">
        <v>516</v>
      </c>
      <c r="Y42" s="19" t="s">
        <v>58</v>
      </c>
      <c r="Z42" s="20" t="s">
        <v>59</v>
      </c>
      <c r="AA42" s="20">
        <v>104</v>
      </c>
      <c r="AB42" s="20">
        <v>270</v>
      </c>
      <c r="AC42" s="20">
        <v>142</v>
      </c>
      <c r="AD42" s="20">
        <v>206</v>
      </c>
      <c r="AE42" s="21">
        <v>310</v>
      </c>
      <c r="AF42" s="20" t="s">
        <v>60</v>
      </c>
      <c r="AG42" s="19" t="s">
        <v>60</v>
      </c>
      <c r="AH42" s="20" t="s">
        <v>60</v>
      </c>
      <c r="AI42" s="20" t="s">
        <v>60</v>
      </c>
      <c r="AJ42" s="30" t="s">
        <v>60</v>
      </c>
    </row>
    <row r="43" spans="2:36" ht="32" hidden="1" x14ac:dyDescent="0.2">
      <c r="B43" s="20" t="s">
        <v>270</v>
      </c>
      <c r="C43" s="19" t="s">
        <v>42</v>
      </c>
      <c r="D43" s="20" t="s">
        <v>62</v>
      </c>
      <c r="E43" s="20">
        <v>2020</v>
      </c>
      <c r="F43" s="21" t="s">
        <v>44</v>
      </c>
      <c r="G43" s="20" t="s">
        <v>46</v>
      </c>
      <c r="H43" s="19" t="s">
        <v>46</v>
      </c>
      <c r="I43" s="20" t="s">
        <v>46</v>
      </c>
      <c r="J43" s="20" t="s">
        <v>46</v>
      </c>
      <c r="K43" s="20" t="s">
        <v>64</v>
      </c>
      <c r="L43" s="20" t="s">
        <v>48</v>
      </c>
      <c r="M43" s="20" t="s">
        <v>122</v>
      </c>
      <c r="N43" s="20" t="s">
        <v>46</v>
      </c>
      <c r="O43" s="20" t="s">
        <v>46</v>
      </c>
      <c r="P43" s="20" t="s">
        <v>46</v>
      </c>
      <c r="Q43" s="20" t="s">
        <v>46</v>
      </c>
      <c r="R43" s="20" t="s">
        <v>46</v>
      </c>
      <c r="S43" s="22">
        <v>40508</v>
      </c>
      <c r="T43" s="26" t="s">
        <v>46</v>
      </c>
      <c r="U43" s="20" t="s">
        <v>46</v>
      </c>
      <c r="V43" s="20" t="s">
        <v>46</v>
      </c>
      <c r="W43" s="21" t="s">
        <v>66</v>
      </c>
      <c r="X43" s="20">
        <v>123</v>
      </c>
      <c r="Y43" s="19" t="s">
        <v>89</v>
      </c>
      <c r="Z43" s="20" t="s">
        <v>59</v>
      </c>
      <c r="AA43" s="20" t="s">
        <v>90</v>
      </c>
      <c r="AB43" s="20" t="s">
        <v>90</v>
      </c>
      <c r="AC43" s="20" t="s">
        <v>90</v>
      </c>
      <c r="AD43" s="20" t="s">
        <v>90</v>
      </c>
      <c r="AE43" s="21">
        <v>73</v>
      </c>
      <c r="AF43" s="20" t="s">
        <v>90</v>
      </c>
      <c r="AG43" s="19" t="s">
        <v>90</v>
      </c>
      <c r="AH43" s="20" t="s">
        <v>90</v>
      </c>
      <c r="AI43" s="20" t="s">
        <v>90</v>
      </c>
      <c r="AJ43" s="30" t="s">
        <v>90</v>
      </c>
    </row>
    <row r="44" spans="2:36" ht="96" hidden="1" x14ac:dyDescent="0.2">
      <c r="B44" s="20" t="s">
        <v>271</v>
      </c>
      <c r="C44" s="19" t="s">
        <v>42</v>
      </c>
      <c r="D44" s="20" t="s">
        <v>43</v>
      </c>
      <c r="E44" s="20">
        <v>2019</v>
      </c>
      <c r="F44" s="21" t="s">
        <v>68</v>
      </c>
      <c r="G44" s="20" t="s">
        <v>272</v>
      </c>
      <c r="H44" s="19" t="s">
        <v>273</v>
      </c>
      <c r="I44" s="24" t="s">
        <v>274</v>
      </c>
      <c r="J44" s="20">
        <v>27627654</v>
      </c>
      <c r="K44" s="20" t="s">
        <v>275</v>
      </c>
      <c r="L44" s="20" t="s">
        <v>48</v>
      </c>
      <c r="M44" s="20" t="s">
        <v>276</v>
      </c>
      <c r="N44" s="20" t="s">
        <v>277</v>
      </c>
      <c r="O44" s="20" t="s">
        <v>278</v>
      </c>
      <c r="P44" s="20" t="s">
        <v>52</v>
      </c>
      <c r="Q44" s="20" t="s">
        <v>60</v>
      </c>
      <c r="R44" s="20" t="s">
        <v>54</v>
      </c>
      <c r="S44" s="26" t="s">
        <v>279</v>
      </c>
      <c r="T44" s="26" t="s">
        <v>280</v>
      </c>
      <c r="U44" s="20" t="s">
        <v>281</v>
      </c>
      <c r="V44" s="20" t="s">
        <v>141</v>
      </c>
      <c r="W44" s="21" t="s">
        <v>66</v>
      </c>
      <c r="X44" s="20">
        <v>151</v>
      </c>
      <c r="Y44" s="19" t="s">
        <v>58</v>
      </c>
      <c r="Z44" s="20" t="s">
        <v>59</v>
      </c>
      <c r="AA44" s="20">
        <v>0</v>
      </c>
      <c r="AB44" s="20">
        <v>98</v>
      </c>
      <c r="AC44" s="20">
        <v>53</v>
      </c>
      <c r="AD44" s="20">
        <v>28</v>
      </c>
      <c r="AE44" s="21">
        <v>123</v>
      </c>
      <c r="AF44" s="20" t="s">
        <v>60</v>
      </c>
      <c r="AG44" s="19" t="s">
        <v>60</v>
      </c>
      <c r="AH44" s="20" t="s">
        <v>53</v>
      </c>
      <c r="AI44" s="20" t="s">
        <v>60</v>
      </c>
      <c r="AJ44" s="30" t="s">
        <v>60</v>
      </c>
    </row>
    <row r="45" spans="2:36" ht="80" hidden="1" x14ac:dyDescent="0.2">
      <c r="B45" s="20" t="s">
        <v>282</v>
      </c>
      <c r="C45" s="19" t="s">
        <v>42</v>
      </c>
      <c r="D45" s="20" t="s">
        <v>62</v>
      </c>
      <c r="E45" s="20">
        <v>2019</v>
      </c>
      <c r="F45" s="21" t="s">
        <v>44</v>
      </c>
      <c r="G45" s="20" t="s">
        <v>283</v>
      </c>
      <c r="H45" s="19" t="s">
        <v>284</v>
      </c>
      <c r="I45" s="20" t="s">
        <v>156</v>
      </c>
      <c r="J45" s="20">
        <v>19407109</v>
      </c>
      <c r="K45" s="20" t="s">
        <v>64</v>
      </c>
      <c r="L45" s="20" t="s">
        <v>48</v>
      </c>
      <c r="M45" s="20" t="s">
        <v>49</v>
      </c>
      <c r="N45" s="20" t="s">
        <v>50</v>
      </c>
      <c r="O45" s="20" t="s">
        <v>285</v>
      </c>
      <c r="P45" s="20" t="s">
        <v>52</v>
      </c>
      <c r="Q45" s="20" t="s">
        <v>53</v>
      </c>
      <c r="R45" s="20" t="s">
        <v>54</v>
      </c>
      <c r="S45" s="22">
        <v>39156</v>
      </c>
      <c r="T45" s="22">
        <v>39276</v>
      </c>
      <c r="U45" s="20" t="s">
        <v>46</v>
      </c>
      <c r="V45" s="20" t="s">
        <v>46</v>
      </c>
      <c r="W45" s="21" t="s">
        <v>286</v>
      </c>
      <c r="X45" s="20">
        <v>60</v>
      </c>
      <c r="Y45" s="19" t="s">
        <v>89</v>
      </c>
      <c r="Z45" s="20" t="s">
        <v>59</v>
      </c>
      <c r="AA45" s="20" t="s">
        <v>90</v>
      </c>
      <c r="AB45" s="20" t="s">
        <v>90</v>
      </c>
      <c r="AC45" s="20" t="s">
        <v>90</v>
      </c>
      <c r="AD45" s="20" t="s">
        <v>90</v>
      </c>
      <c r="AE45" s="21">
        <v>42</v>
      </c>
      <c r="AF45" s="20" t="s">
        <v>90</v>
      </c>
      <c r="AG45" s="19" t="s">
        <v>90</v>
      </c>
      <c r="AH45" s="20" t="s">
        <v>90</v>
      </c>
      <c r="AI45" s="20" t="s">
        <v>90</v>
      </c>
      <c r="AJ45" s="30" t="s">
        <v>90</v>
      </c>
    </row>
    <row r="46" spans="2:36" ht="48" hidden="1" x14ac:dyDescent="0.2">
      <c r="B46" s="20" t="s">
        <v>287</v>
      </c>
      <c r="C46" s="19" t="s">
        <v>42</v>
      </c>
      <c r="D46" s="20" t="s">
        <v>62</v>
      </c>
      <c r="E46" s="20">
        <v>2020</v>
      </c>
      <c r="F46" s="21" t="s">
        <v>44</v>
      </c>
      <c r="G46" s="20" t="s">
        <v>46</v>
      </c>
      <c r="H46" s="19" t="s">
        <v>288</v>
      </c>
      <c r="I46" s="20" t="s">
        <v>156</v>
      </c>
      <c r="J46" s="20">
        <v>16354802</v>
      </c>
      <c r="K46" s="20" t="s">
        <v>64</v>
      </c>
      <c r="L46" s="20" t="s">
        <v>48</v>
      </c>
      <c r="M46" s="20" t="s">
        <v>289</v>
      </c>
      <c r="N46" s="20" t="s">
        <v>123</v>
      </c>
      <c r="O46" s="20" t="s">
        <v>124</v>
      </c>
      <c r="P46" s="20" t="s">
        <v>52</v>
      </c>
      <c r="Q46" s="20" t="s">
        <v>60</v>
      </c>
      <c r="R46" s="20" t="s">
        <v>54</v>
      </c>
      <c r="S46" s="26" t="s">
        <v>46</v>
      </c>
      <c r="T46" s="26" t="s">
        <v>46</v>
      </c>
      <c r="U46" s="20" t="s">
        <v>46</v>
      </c>
      <c r="V46" s="20" t="s">
        <v>46</v>
      </c>
      <c r="W46" s="21" t="s">
        <v>66</v>
      </c>
      <c r="X46" s="20">
        <v>20</v>
      </c>
      <c r="Y46" s="19" t="s">
        <v>89</v>
      </c>
      <c r="Z46" s="20" t="s">
        <v>59</v>
      </c>
      <c r="AA46" s="20" t="s">
        <v>90</v>
      </c>
      <c r="AB46" s="20" t="s">
        <v>90</v>
      </c>
      <c r="AC46" s="20" t="s">
        <v>90</v>
      </c>
      <c r="AD46" s="20" t="s">
        <v>90</v>
      </c>
      <c r="AE46" s="21">
        <v>17</v>
      </c>
      <c r="AF46" s="20" t="s">
        <v>90</v>
      </c>
      <c r="AG46" s="19" t="s">
        <v>90</v>
      </c>
      <c r="AH46" s="20" t="s">
        <v>90</v>
      </c>
      <c r="AI46" s="20" t="s">
        <v>90</v>
      </c>
      <c r="AJ46" s="30" t="s">
        <v>90</v>
      </c>
    </row>
    <row r="47" spans="2:36" ht="51" hidden="1" x14ac:dyDescent="0.2">
      <c r="B47" s="20" t="s">
        <v>290</v>
      </c>
      <c r="C47" s="19" t="s">
        <v>42</v>
      </c>
      <c r="D47" s="20" t="s">
        <v>62</v>
      </c>
      <c r="E47" s="20">
        <v>2019</v>
      </c>
      <c r="F47" s="21" t="s">
        <v>44</v>
      </c>
      <c r="G47" s="20" t="s">
        <v>46</v>
      </c>
      <c r="H47" s="19" t="s">
        <v>291</v>
      </c>
      <c r="I47" s="24" t="s">
        <v>292</v>
      </c>
      <c r="J47" s="20">
        <v>18664241</v>
      </c>
      <c r="K47" s="20" t="s">
        <v>64</v>
      </c>
      <c r="L47" s="20" t="s">
        <v>48</v>
      </c>
      <c r="M47" s="20" t="s">
        <v>49</v>
      </c>
      <c r="N47" s="20" t="s">
        <v>50</v>
      </c>
      <c r="O47" s="20" t="s">
        <v>293</v>
      </c>
      <c r="P47" s="20" t="s">
        <v>52</v>
      </c>
      <c r="Q47" s="20" t="s">
        <v>53</v>
      </c>
      <c r="R47" s="20" t="s">
        <v>54</v>
      </c>
      <c r="S47" s="22">
        <v>38112</v>
      </c>
      <c r="T47" s="22">
        <v>38361</v>
      </c>
      <c r="U47" s="20" t="s">
        <v>110</v>
      </c>
      <c r="V47" s="20" t="s">
        <v>56</v>
      </c>
      <c r="W47" s="21" t="s">
        <v>66</v>
      </c>
      <c r="X47" s="20">
        <v>45</v>
      </c>
      <c r="Y47" s="19" t="s">
        <v>58</v>
      </c>
      <c r="Z47" s="20" t="s">
        <v>59</v>
      </c>
      <c r="AA47" s="20">
        <v>0</v>
      </c>
      <c r="AB47" s="20">
        <v>18</v>
      </c>
      <c r="AC47" s="20">
        <v>27</v>
      </c>
      <c r="AD47" s="20">
        <v>14</v>
      </c>
      <c r="AE47" s="21">
        <v>31</v>
      </c>
      <c r="AF47" s="20" t="s">
        <v>60</v>
      </c>
      <c r="AG47" s="19" t="s">
        <v>60</v>
      </c>
      <c r="AH47" s="20" t="s">
        <v>53</v>
      </c>
      <c r="AI47" s="20" t="s">
        <v>60</v>
      </c>
      <c r="AJ47" s="30" t="s">
        <v>60</v>
      </c>
    </row>
    <row r="48" spans="2:36" ht="32" hidden="1" x14ac:dyDescent="0.2">
      <c r="B48" s="20" t="s">
        <v>294</v>
      </c>
      <c r="C48" s="19" t="s">
        <v>42</v>
      </c>
      <c r="D48" s="20" t="s">
        <v>62</v>
      </c>
      <c r="E48" s="20">
        <v>2019</v>
      </c>
      <c r="F48" s="21" t="s">
        <v>44</v>
      </c>
      <c r="G48" s="20" t="s">
        <v>46</v>
      </c>
      <c r="H48" s="19" t="s">
        <v>46</v>
      </c>
      <c r="I48" s="20" t="s">
        <v>46</v>
      </c>
      <c r="J48" s="20" t="s">
        <v>46</v>
      </c>
      <c r="K48" s="20" t="s">
        <v>64</v>
      </c>
      <c r="L48" s="20" t="s">
        <v>48</v>
      </c>
      <c r="M48" s="20" t="s">
        <v>49</v>
      </c>
      <c r="N48" s="20" t="s">
        <v>50</v>
      </c>
      <c r="O48" s="20" t="s">
        <v>46</v>
      </c>
      <c r="P48" s="20" t="s">
        <v>46</v>
      </c>
      <c r="Q48" s="20" t="s">
        <v>46</v>
      </c>
      <c r="R48" s="20" t="s">
        <v>46</v>
      </c>
      <c r="S48" s="22">
        <v>43813</v>
      </c>
      <c r="T48" s="22">
        <v>40306</v>
      </c>
      <c r="U48" s="20" t="s">
        <v>46</v>
      </c>
      <c r="V48" s="20" t="s">
        <v>46</v>
      </c>
      <c r="W48" s="21" t="s">
        <v>66</v>
      </c>
      <c r="X48" s="20">
        <v>37</v>
      </c>
      <c r="Y48" s="19" t="s">
        <v>89</v>
      </c>
      <c r="Z48" s="20" t="s">
        <v>59</v>
      </c>
      <c r="AA48" s="20" t="s">
        <v>90</v>
      </c>
      <c r="AB48" s="20" t="s">
        <v>90</v>
      </c>
      <c r="AC48" s="20" t="s">
        <v>90</v>
      </c>
      <c r="AD48" s="20" t="s">
        <v>90</v>
      </c>
      <c r="AE48" s="21">
        <v>24</v>
      </c>
      <c r="AF48" s="20" t="s">
        <v>90</v>
      </c>
      <c r="AG48" s="19" t="s">
        <v>90</v>
      </c>
      <c r="AH48" s="20" t="s">
        <v>90</v>
      </c>
      <c r="AI48" s="20" t="s">
        <v>90</v>
      </c>
      <c r="AJ48" s="30" t="s">
        <v>90</v>
      </c>
    </row>
    <row r="49" spans="2:36" ht="64" hidden="1" x14ac:dyDescent="0.2">
      <c r="B49" s="20" t="s">
        <v>295</v>
      </c>
      <c r="C49" s="19" t="s">
        <v>42</v>
      </c>
      <c r="D49" s="20" t="s">
        <v>62</v>
      </c>
      <c r="E49" s="20">
        <v>2019</v>
      </c>
      <c r="F49" s="21" t="s">
        <v>44</v>
      </c>
      <c r="G49" s="20" t="s">
        <v>296</v>
      </c>
      <c r="H49" s="19" t="s">
        <v>297</v>
      </c>
      <c r="I49" s="24" t="s">
        <v>298</v>
      </c>
      <c r="J49" s="20">
        <v>25510715</v>
      </c>
      <c r="K49" s="20" t="s">
        <v>64</v>
      </c>
      <c r="L49" s="20" t="s">
        <v>48</v>
      </c>
      <c r="M49" s="20" t="s">
        <v>49</v>
      </c>
      <c r="N49" s="20" t="s">
        <v>50</v>
      </c>
      <c r="O49" s="20" t="s">
        <v>154</v>
      </c>
      <c r="P49" s="20" t="s">
        <v>52</v>
      </c>
      <c r="Q49" s="20" t="s">
        <v>53</v>
      </c>
      <c r="R49" s="20" t="s">
        <v>54</v>
      </c>
      <c r="S49" s="26" t="s">
        <v>46</v>
      </c>
      <c r="T49" s="26" t="s">
        <v>46</v>
      </c>
      <c r="U49" s="20" t="s">
        <v>110</v>
      </c>
      <c r="V49" s="20" t="s">
        <v>141</v>
      </c>
      <c r="W49" s="21" t="s">
        <v>66</v>
      </c>
      <c r="X49" s="20">
        <v>30</v>
      </c>
      <c r="Y49" s="19" t="s">
        <v>58</v>
      </c>
      <c r="Z49" s="20" t="s">
        <v>59</v>
      </c>
      <c r="AA49" s="20">
        <v>1</v>
      </c>
      <c r="AB49" s="20">
        <v>5</v>
      </c>
      <c r="AC49" s="20">
        <v>24</v>
      </c>
      <c r="AD49" s="20">
        <v>15</v>
      </c>
      <c r="AE49" s="21">
        <v>15</v>
      </c>
      <c r="AF49" s="20" t="s">
        <v>60</v>
      </c>
      <c r="AG49" s="19" t="s">
        <v>60</v>
      </c>
      <c r="AH49" s="20" t="s">
        <v>60</v>
      </c>
      <c r="AI49" s="20" t="s">
        <v>60</v>
      </c>
      <c r="AJ49" s="30" t="s">
        <v>60</v>
      </c>
    </row>
    <row r="50" spans="2:36" ht="32" hidden="1" x14ac:dyDescent="0.2">
      <c r="B50" s="20" t="s">
        <v>299</v>
      </c>
      <c r="C50" s="19" t="s">
        <v>42</v>
      </c>
      <c r="D50" s="20" t="s">
        <v>62</v>
      </c>
      <c r="E50" s="20">
        <v>2020</v>
      </c>
      <c r="F50" s="21" t="s">
        <v>44</v>
      </c>
      <c r="G50" s="20" t="s">
        <v>300</v>
      </c>
      <c r="H50" s="19" t="s">
        <v>46</v>
      </c>
      <c r="I50" s="20" t="s">
        <v>46</v>
      </c>
      <c r="J50" s="20" t="s">
        <v>46</v>
      </c>
      <c r="K50" s="20" t="s">
        <v>64</v>
      </c>
      <c r="L50" s="20" t="s">
        <v>48</v>
      </c>
      <c r="M50" s="20" t="s">
        <v>49</v>
      </c>
      <c r="N50" s="20" t="s">
        <v>50</v>
      </c>
      <c r="O50" s="20" t="s">
        <v>51</v>
      </c>
      <c r="P50" s="20" t="s">
        <v>52</v>
      </c>
      <c r="Q50" s="20" t="s">
        <v>60</v>
      </c>
      <c r="R50" s="20" t="s">
        <v>54</v>
      </c>
      <c r="S50" s="22">
        <v>43222</v>
      </c>
      <c r="T50" s="22">
        <v>43560</v>
      </c>
      <c r="U50" s="20" t="s">
        <v>301</v>
      </c>
      <c r="V50" s="20" t="s">
        <v>56</v>
      </c>
      <c r="W50" s="21" t="s">
        <v>66</v>
      </c>
      <c r="X50" s="20">
        <v>22</v>
      </c>
      <c r="Y50" s="19" t="s">
        <v>89</v>
      </c>
      <c r="Z50" s="20" t="s">
        <v>59</v>
      </c>
      <c r="AA50" s="20" t="s">
        <v>90</v>
      </c>
      <c r="AB50" s="20" t="s">
        <v>90</v>
      </c>
      <c r="AC50" s="20" t="s">
        <v>90</v>
      </c>
      <c r="AD50" s="20" t="s">
        <v>90</v>
      </c>
      <c r="AE50" s="21">
        <v>14</v>
      </c>
      <c r="AF50" s="20" t="s">
        <v>90</v>
      </c>
      <c r="AG50" s="19" t="s">
        <v>90</v>
      </c>
      <c r="AH50" s="20" t="s">
        <v>90</v>
      </c>
      <c r="AI50" s="20" t="s">
        <v>90</v>
      </c>
      <c r="AJ50" s="30" t="s">
        <v>90</v>
      </c>
    </row>
    <row r="51" spans="2:36" ht="96" hidden="1" x14ac:dyDescent="0.2">
      <c r="B51" s="20" t="s">
        <v>302</v>
      </c>
      <c r="C51" s="19" t="s">
        <v>42</v>
      </c>
      <c r="D51" s="20" t="s">
        <v>43</v>
      </c>
      <c r="E51" s="20">
        <v>2019</v>
      </c>
      <c r="F51" s="21" t="s">
        <v>68</v>
      </c>
      <c r="G51" s="20" t="s">
        <v>134</v>
      </c>
      <c r="H51" s="19" t="s">
        <v>303</v>
      </c>
      <c r="I51" s="24" t="s">
        <v>304</v>
      </c>
      <c r="J51" s="20">
        <v>22724029</v>
      </c>
      <c r="K51" s="20" t="s">
        <v>305</v>
      </c>
      <c r="L51" s="20" t="s">
        <v>48</v>
      </c>
      <c r="M51" s="20" t="s">
        <v>306</v>
      </c>
      <c r="N51" s="20" t="s">
        <v>130</v>
      </c>
      <c r="O51" s="20" t="s">
        <v>164</v>
      </c>
      <c r="P51" s="20" t="s">
        <v>52</v>
      </c>
      <c r="Q51" s="20" t="s">
        <v>60</v>
      </c>
      <c r="R51" s="20" t="s">
        <v>54</v>
      </c>
      <c r="S51" s="26" t="s">
        <v>307</v>
      </c>
      <c r="T51" s="26" t="s">
        <v>308</v>
      </c>
      <c r="U51" s="20" t="s">
        <v>76</v>
      </c>
      <c r="V51" s="20" t="s">
        <v>141</v>
      </c>
      <c r="W51" s="21" t="s">
        <v>120</v>
      </c>
      <c r="X51" s="20">
        <v>500</v>
      </c>
      <c r="Y51" s="19" t="s">
        <v>58</v>
      </c>
      <c r="Z51" s="20" t="s">
        <v>59</v>
      </c>
      <c r="AA51" s="20">
        <v>21</v>
      </c>
      <c r="AB51" s="20">
        <v>306</v>
      </c>
      <c r="AC51" s="20">
        <v>173</v>
      </c>
      <c r="AD51" s="20">
        <v>189</v>
      </c>
      <c r="AE51" s="21">
        <v>311</v>
      </c>
      <c r="AF51" s="20" t="s">
        <v>60</v>
      </c>
      <c r="AG51" s="19" t="s">
        <v>60</v>
      </c>
      <c r="AH51" s="20" t="s">
        <v>53</v>
      </c>
      <c r="AI51" s="20" t="s">
        <v>60</v>
      </c>
      <c r="AJ51" s="30" t="s">
        <v>60</v>
      </c>
    </row>
    <row r="52" spans="2:36" ht="48" hidden="1" x14ac:dyDescent="0.2">
      <c r="B52" s="20" t="s">
        <v>309</v>
      </c>
      <c r="C52" s="19" t="s">
        <v>42</v>
      </c>
      <c r="D52" s="20" t="s">
        <v>62</v>
      </c>
      <c r="E52" s="20">
        <v>2019</v>
      </c>
      <c r="F52" s="21" t="s">
        <v>44</v>
      </c>
      <c r="G52" s="20" t="s">
        <v>151</v>
      </c>
      <c r="H52" s="19" t="s">
        <v>152</v>
      </c>
      <c r="I52" s="24" t="s">
        <v>153</v>
      </c>
      <c r="J52" s="20">
        <v>31436156</v>
      </c>
      <c r="K52" s="20" t="s">
        <v>64</v>
      </c>
      <c r="L52" s="20" t="s">
        <v>48</v>
      </c>
      <c r="M52" s="20" t="s">
        <v>49</v>
      </c>
      <c r="N52" s="20" t="s">
        <v>50</v>
      </c>
      <c r="O52" s="20" t="s">
        <v>154</v>
      </c>
      <c r="P52" s="20" t="s">
        <v>52</v>
      </c>
      <c r="Q52" s="20" t="s">
        <v>53</v>
      </c>
      <c r="R52" s="20" t="s">
        <v>54</v>
      </c>
      <c r="S52" s="22">
        <v>41440</v>
      </c>
      <c r="T52" s="26" t="s">
        <v>46</v>
      </c>
      <c r="U52" s="20" t="s">
        <v>86</v>
      </c>
      <c r="V52" s="20" t="s">
        <v>77</v>
      </c>
      <c r="W52" s="21" t="s">
        <v>241</v>
      </c>
      <c r="X52" s="20">
        <v>500</v>
      </c>
      <c r="Y52" s="19" t="s">
        <v>58</v>
      </c>
      <c r="Z52" s="20" t="s">
        <v>59</v>
      </c>
      <c r="AA52" s="20">
        <v>16</v>
      </c>
      <c r="AB52" s="20">
        <v>265</v>
      </c>
      <c r="AC52" s="20">
        <v>219</v>
      </c>
      <c r="AD52" s="20">
        <v>207</v>
      </c>
      <c r="AE52" s="21">
        <v>286</v>
      </c>
      <c r="AF52" s="20" t="s">
        <v>60</v>
      </c>
      <c r="AG52" s="19" t="s">
        <v>60</v>
      </c>
      <c r="AH52" s="20" t="s">
        <v>60</v>
      </c>
      <c r="AI52" s="20" t="s">
        <v>60</v>
      </c>
      <c r="AJ52" s="30" t="s">
        <v>60</v>
      </c>
    </row>
    <row r="53" spans="2:36" ht="32" hidden="1" x14ac:dyDescent="0.2">
      <c r="B53" s="20" t="s">
        <v>310</v>
      </c>
      <c r="C53" s="19" t="s">
        <v>42</v>
      </c>
      <c r="D53" s="20" t="s">
        <v>62</v>
      </c>
      <c r="E53" s="20">
        <v>2019</v>
      </c>
      <c r="F53" s="21" t="s">
        <v>44</v>
      </c>
      <c r="G53" s="20" t="s">
        <v>46</v>
      </c>
      <c r="H53" s="19" t="s">
        <v>46</v>
      </c>
      <c r="I53" s="20" t="s">
        <v>46</v>
      </c>
      <c r="J53" s="20" t="s">
        <v>46</v>
      </c>
      <c r="K53" s="20" t="s">
        <v>64</v>
      </c>
      <c r="L53" s="20" t="s">
        <v>148</v>
      </c>
      <c r="M53" s="20" t="s">
        <v>49</v>
      </c>
      <c r="N53" s="20" t="s">
        <v>50</v>
      </c>
      <c r="O53" s="20" t="s">
        <v>46</v>
      </c>
      <c r="P53" s="20" t="s">
        <v>46</v>
      </c>
      <c r="Q53" s="20" t="s">
        <v>46</v>
      </c>
      <c r="R53" s="20" t="s">
        <v>46</v>
      </c>
      <c r="S53" s="22">
        <v>40434</v>
      </c>
      <c r="T53" s="26" t="s">
        <v>46</v>
      </c>
      <c r="U53" s="20" t="s">
        <v>46</v>
      </c>
      <c r="V53" s="20" t="s">
        <v>46</v>
      </c>
      <c r="W53" s="21" t="s">
        <v>46</v>
      </c>
      <c r="X53" s="20">
        <v>105</v>
      </c>
      <c r="Y53" s="19" t="s">
        <v>89</v>
      </c>
      <c r="Z53" s="20" t="s">
        <v>59</v>
      </c>
      <c r="AA53" s="20" t="s">
        <v>90</v>
      </c>
      <c r="AB53" s="20" t="s">
        <v>90</v>
      </c>
      <c r="AC53" s="20" t="s">
        <v>90</v>
      </c>
      <c r="AD53" s="20" t="s">
        <v>90</v>
      </c>
      <c r="AE53" s="21">
        <v>56</v>
      </c>
      <c r="AF53" s="20" t="s">
        <v>90</v>
      </c>
      <c r="AG53" s="19" t="s">
        <v>90</v>
      </c>
      <c r="AH53" s="20" t="s">
        <v>90</v>
      </c>
      <c r="AI53" s="20" t="s">
        <v>90</v>
      </c>
      <c r="AJ53" s="30" t="s">
        <v>90</v>
      </c>
    </row>
    <row r="54" spans="2:36" ht="32" hidden="1" x14ac:dyDescent="0.2">
      <c r="B54" s="20" t="s">
        <v>311</v>
      </c>
      <c r="C54" s="19" t="s">
        <v>42</v>
      </c>
      <c r="D54" s="20" t="s">
        <v>62</v>
      </c>
      <c r="E54" s="20">
        <v>2020</v>
      </c>
      <c r="F54" s="21" t="s">
        <v>44</v>
      </c>
      <c r="G54" s="20" t="s">
        <v>46</v>
      </c>
      <c r="H54" s="19" t="s">
        <v>46</v>
      </c>
      <c r="I54" s="20" t="s">
        <v>46</v>
      </c>
      <c r="J54" s="20" t="s">
        <v>46</v>
      </c>
      <c r="K54" s="20" t="s">
        <v>64</v>
      </c>
      <c r="L54" s="20" t="s">
        <v>48</v>
      </c>
      <c r="M54" s="20" t="s">
        <v>49</v>
      </c>
      <c r="N54" s="20" t="s">
        <v>50</v>
      </c>
      <c r="O54" s="20" t="s">
        <v>154</v>
      </c>
      <c r="P54" s="20" t="s">
        <v>52</v>
      </c>
      <c r="Q54" s="20" t="s">
        <v>46</v>
      </c>
      <c r="R54" s="20" t="s">
        <v>46</v>
      </c>
      <c r="S54" s="22">
        <v>41799</v>
      </c>
      <c r="T54" s="26" t="s">
        <v>46</v>
      </c>
      <c r="U54" s="20" t="s">
        <v>46</v>
      </c>
      <c r="V54" s="20" t="s">
        <v>46</v>
      </c>
      <c r="W54" s="21" t="s">
        <v>66</v>
      </c>
      <c r="X54" s="20">
        <v>68</v>
      </c>
      <c r="Y54" s="19" t="s">
        <v>89</v>
      </c>
      <c r="Z54" s="20" t="s">
        <v>59</v>
      </c>
      <c r="AA54" s="20" t="s">
        <v>90</v>
      </c>
      <c r="AB54" s="20" t="s">
        <v>90</v>
      </c>
      <c r="AC54" s="20" t="s">
        <v>90</v>
      </c>
      <c r="AD54" s="20" t="s">
        <v>90</v>
      </c>
      <c r="AE54" s="21">
        <v>49</v>
      </c>
      <c r="AF54" s="20" t="s">
        <v>90</v>
      </c>
      <c r="AG54" s="19" t="s">
        <v>90</v>
      </c>
      <c r="AH54" s="20" t="s">
        <v>90</v>
      </c>
      <c r="AI54" s="20" t="s">
        <v>90</v>
      </c>
      <c r="AJ54" s="30" t="s">
        <v>90</v>
      </c>
    </row>
    <row r="55" spans="2:36" ht="80" hidden="1" x14ac:dyDescent="0.2">
      <c r="B55" s="20" t="s">
        <v>312</v>
      </c>
      <c r="C55" s="19" t="s">
        <v>42</v>
      </c>
      <c r="D55" s="20" t="s">
        <v>178</v>
      </c>
      <c r="E55" s="20">
        <v>2018</v>
      </c>
      <c r="F55" s="21" t="s">
        <v>68</v>
      </c>
      <c r="G55" s="20" t="s">
        <v>46</v>
      </c>
      <c r="H55" s="19" t="s">
        <v>313</v>
      </c>
      <c r="I55" s="24" t="s">
        <v>314</v>
      </c>
      <c r="J55" s="20">
        <v>11816442</v>
      </c>
      <c r="K55" s="20" t="s">
        <v>181</v>
      </c>
      <c r="L55" s="20" t="s">
        <v>48</v>
      </c>
      <c r="M55" s="20" t="s">
        <v>95</v>
      </c>
      <c r="N55" s="20" t="s">
        <v>50</v>
      </c>
      <c r="O55" s="20" t="s">
        <v>87</v>
      </c>
      <c r="P55" s="20" t="s">
        <v>52</v>
      </c>
      <c r="Q55" s="20" t="s">
        <v>60</v>
      </c>
      <c r="R55" s="20" t="s">
        <v>54</v>
      </c>
      <c r="S55" s="22">
        <v>36111</v>
      </c>
      <c r="T55" s="26" t="s">
        <v>315</v>
      </c>
      <c r="U55" s="20" t="s">
        <v>46</v>
      </c>
      <c r="V55" s="20" t="s">
        <v>46</v>
      </c>
      <c r="W55" s="21" t="s">
        <v>66</v>
      </c>
      <c r="X55" s="20">
        <v>199</v>
      </c>
      <c r="Y55" s="19" t="s">
        <v>58</v>
      </c>
      <c r="Z55" s="20" t="s">
        <v>59</v>
      </c>
      <c r="AA55" s="20">
        <v>6</v>
      </c>
      <c r="AB55" s="20">
        <v>25</v>
      </c>
      <c r="AC55" s="20">
        <v>168</v>
      </c>
      <c r="AD55" s="20">
        <v>19</v>
      </c>
      <c r="AE55" s="21">
        <v>180</v>
      </c>
      <c r="AF55" s="20" t="s">
        <v>60</v>
      </c>
      <c r="AG55" s="19" t="s">
        <v>60</v>
      </c>
      <c r="AH55" s="20" t="s">
        <v>60</v>
      </c>
      <c r="AI55" s="20" t="s">
        <v>60</v>
      </c>
      <c r="AJ55" s="30" t="s">
        <v>60</v>
      </c>
    </row>
    <row r="56" spans="2:36" ht="48" hidden="1" x14ac:dyDescent="0.2">
      <c r="B56" s="20" t="s">
        <v>316</v>
      </c>
      <c r="C56" s="19" t="s">
        <v>42</v>
      </c>
      <c r="D56" s="20" t="s">
        <v>62</v>
      </c>
      <c r="E56" s="20">
        <v>2019</v>
      </c>
      <c r="F56" s="21" t="s">
        <v>44</v>
      </c>
      <c r="G56" s="20" t="s">
        <v>46</v>
      </c>
      <c r="H56" s="19" t="s">
        <v>317</v>
      </c>
      <c r="I56" s="24" t="s">
        <v>318</v>
      </c>
      <c r="J56" s="20">
        <v>23136856</v>
      </c>
      <c r="K56" s="20" t="s">
        <v>64</v>
      </c>
      <c r="L56" s="20" t="s">
        <v>148</v>
      </c>
      <c r="M56" s="20" t="s">
        <v>122</v>
      </c>
      <c r="N56" s="20" t="s">
        <v>123</v>
      </c>
      <c r="O56" s="20" t="s">
        <v>175</v>
      </c>
      <c r="P56" s="20" t="s">
        <v>52</v>
      </c>
      <c r="Q56" s="20" t="s">
        <v>60</v>
      </c>
      <c r="R56" s="20" t="s">
        <v>54</v>
      </c>
      <c r="S56" s="22" t="s">
        <v>319</v>
      </c>
      <c r="T56" s="22" t="s">
        <v>320</v>
      </c>
      <c r="U56" s="20" t="s">
        <v>110</v>
      </c>
      <c r="V56" s="20" t="s">
        <v>77</v>
      </c>
      <c r="W56" s="21" t="s">
        <v>99</v>
      </c>
      <c r="X56" s="20">
        <v>9</v>
      </c>
      <c r="Y56" s="19" t="s">
        <v>58</v>
      </c>
      <c r="Z56" s="20" t="s">
        <v>59</v>
      </c>
      <c r="AA56" s="20">
        <v>0</v>
      </c>
      <c r="AB56" s="20">
        <v>1</v>
      </c>
      <c r="AC56" s="20">
        <v>8</v>
      </c>
      <c r="AD56" s="20">
        <v>2</v>
      </c>
      <c r="AE56" s="21">
        <v>7</v>
      </c>
      <c r="AF56" s="20" t="s">
        <v>60</v>
      </c>
      <c r="AG56" s="19" t="s">
        <v>60</v>
      </c>
      <c r="AH56" s="20" t="s">
        <v>53</v>
      </c>
      <c r="AI56" s="20" t="s">
        <v>60</v>
      </c>
      <c r="AJ56" s="30" t="s">
        <v>53</v>
      </c>
    </row>
    <row r="57" spans="2:36" ht="51" hidden="1" x14ac:dyDescent="0.2">
      <c r="B57" s="20" t="s">
        <v>321</v>
      </c>
      <c r="C57" s="19" t="s">
        <v>42</v>
      </c>
      <c r="D57" s="20" t="s">
        <v>62</v>
      </c>
      <c r="E57" s="20">
        <v>2019</v>
      </c>
      <c r="F57" s="21" t="s">
        <v>44</v>
      </c>
      <c r="G57" s="20" t="s">
        <v>223</v>
      </c>
      <c r="H57" s="19" t="s">
        <v>224</v>
      </c>
      <c r="I57" s="24" t="s">
        <v>225</v>
      </c>
      <c r="J57" s="20">
        <v>21129762</v>
      </c>
      <c r="K57" s="20" t="s">
        <v>64</v>
      </c>
      <c r="L57" s="20" t="s">
        <v>48</v>
      </c>
      <c r="M57" s="20" t="s">
        <v>104</v>
      </c>
      <c r="N57" s="20" t="s">
        <v>105</v>
      </c>
      <c r="O57" s="20" t="s">
        <v>221</v>
      </c>
      <c r="P57" s="20" t="s">
        <v>52</v>
      </c>
      <c r="Q57" s="20" t="s">
        <v>53</v>
      </c>
      <c r="R57" s="20" t="s">
        <v>156</v>
      </c>
      <c r="S57" s="26" t="s">
        <v>226</v>
      </c>
      <c r="T57" s="26" t="s">
        <v>227</v>
      </c>
      <c r="U57" s="20" t="s">
        <v>55</v>
      </c>
      <c r="V57" s="20" t="s">
        <v>56</v>
      </c>
      <c r="W57" s="21" t="s">
        <v>120</v>
      </c>
      <c r="X57" s="20">
        <v>100</v>
      </c>
      <c r="Y57" s="19" t="s">
        <v>58</v>
      </c>
      <c r="Z57" s="20" t="s">
        <v>59</v>
      </c>
      <c r="AA57" s="20">
        <v>1</v>
      </c>
      <c r="AB57" s="20">
        <v>32</v>
      </c>
      <c r="AC57" s="20">
        <v>67</v>
      </c>
      <c r="AD57" s="20">
        <v>43</v>
      </c>
      <c r="AE57" s="21">
        <v>57</v>
      </c>
      <c r="AF57" s="20" t="s">
        <v>60</v>
      </c>
      <c r="AG57" s="19" t="s">
        <v>60</v>
      </c>
      <c r="AH57" s="20" t="s">
        <v>60</v>
      </c>
      <c r="AI57" s="20" t="s">
        <v>60</v>
      </c>
      <c r="AJ57" s="30" t="s">
        <v>60</v>
      </c>
    </row>
    <row r="58" spans="2:36" ht="64" hidden="1" x14ac:dyDescent="0.2">
      <c r="B58" s="20" t="s">
        <v>322</v>
      </c>
      <c r="C58" s="19" t="s">
        <v>42</v>
      </c>
      <c r="D58" s="20" t="s">
        <v>62</v>
      </c>
      <c r="E58" s="20">
        <v>2019</v>
      </c>
      <c r="F58" s="21" t="s">
        <v>44</v>
      </c>
      <c r="G58" s="20" t="s">
        <v>323</v>
      </c>
      <c r="H58" s="19" t="s">
        <v>324</v>
      </c>
      <c r="I58" s="24" t="s">
        <v>325</v>
      </c>
      <c r="J58" s="20">
        <v>17582067</v>
      </c>
      <c r="K58" s="20" t="s">
        <v>64</v>
      </c>
      <c r="L58" s="20" t="s">
        <v>48</v>
      </c>
      <c r="M58" s="20" t="s">
        <v>326</v>
      </c>
      <c r="N58" s="20" t="s">
        <v>231</v>
      </c>
      <c r="O58" s="20" t="s">
        <v>327</v>
      </c>
      <c r="P58" s="20" t="s">
        <v>52</v>
      </c>
      <c r="Q58" s="20" t="s">
        <v>60</v>
      </c>
      <c r="R58" s="20" t="s">
        <v>54</v>
      </c>
      <c r="S58" s="22">
        <v>37727</v>
      </c>
      <c r="T58" s="22">
        <v>38057</v>
      </c>
      <c r="U58" s="20" t="s">
        <v>65</v>
      </c>
      <c r="V58" s="20" t="s">
        <v>119</v>
      </c>
      <c r="W58" s="21" t="s">
        <v>120</v>
      </c>
      <c r="X58" s="20">
        <v>250</v>
      </c>
      <c r="Y58" s="19" t="s">
        <v>58</v>
      </c>
      <c r="Z58" s="20" t="s">
        <v>59</v>
      </c>
      <c r="AA58" s="20">
        <v>0</v>
      </c>
      <c r="AB58" s="20">
        <v>121</v>
      </c>
      <c r="AC58" s="20">
        <v>129</v>
      </c>
      <c r="AD58" s="20">
        <v>100</v>
      </c>
      <c r="AE58" s="21">
        <v>150</v>
      </c>
      <c r="AF58" s="20" t="s">
        <v>60</v>
      </c>
      <c r="AG58" s="19" t="s">
        <v>60</v>
      </c>
      <c r="AH58" s="20" t="s">
        <v>53</v>
      </c>
      <c r="AI58" s="20" t="s">
        <v>60</v>
      </c>
      <c r="AJ58" s="30" t="s">
        <v>60</v>
      </c>
    </row>
    <row r="59" spans="2:36" ht="48" hidden="1" x14ac:dyDescent="0.2">
      <c r="B59" s="20" t="s">
        <v>328</v>
      </c>
      <c r="C59" s="19" t="s">
        <v>42</v>
      </c>
      <c r="D59" s="20" t="s">
        <v>62</v>
      </c>
      <c r="E59" s="20">
        <v>2020</v>
      </c>
      <c r="F59" s="21" t="s">
        <v>44</v>
      </c>
      <c r="G59" s="20" t="s">
        <v>46</v>
      </c>
      <c r="H59" s="19" t="s">
        <v>46</v>
      </c>
      <c r="I59" s="20" t="s">
        <v>46</v>
      </c>
      <c r="J59" s="20" t="s">
        <v>46</v>
      </c>
      <c r="K59" s="20" t="s">
        <v>64</v>
      </c>
      <c r="L59" s="20" t="s">
        <v>148</v>
      </c>
      <c r="M59" s="20" t="s">
        <v>329</v>
      </c>
      <c r="N59" s="20" t="s">
        <v>46</v>
      </c>
      <c r="O59" s="20" t="s">
        <v>46</v>
      </c>
      <c r="P59" s="20" t="s">
        <v>46</v>
      </c>
      <c r="Q59" s="20" t="s">
        <v>46</v>
      </c>
      <c r="R59" s="20" t="s">
        <v>46</v>
      </c>
      <c r="S59" s="22">
        <v>39789</v>
      </c>
      <c r="T59" s="20" t="s">
        <v>46</v>
      </c>
      <c r="U59" s="20" t="s">
        <v>46</v>
      </c>
      <c r="V59" s="20" t="s">
        <v>46</v>
      </c>
      <c r="W59" s="20" t="s">
        <v>46</v>
      </c>
      <c r="X59" s="18">
        <v>5</v>
      </c>
      <c r="Y59" s="19" t="s">
        <v>89</v>
      </c>
      <c r="Z59" s="20" t="s">
        <v>59</v>
      </c>
      <c r="AA59" s="20" t="s">
        <v>90</v>
      </c>
      <c r="AB59" s="20" t="s">
        <v>90</v>
      </c>
      <c r="AC59" s="20" t="s">
        <v>90</v>
      </c>
      <c r="AD59" s="20">
        <v>0</v>
      </c>
      <c r="AE59" s="21">
        <v>5</v>
      </c>
      <c r="AF59" s="20" t="s">
        <v>90</v>
      </c>
      <c r="AG59" s="19" t="s">
        <v>90</v>
      </c>
      <c r="AH59" s="20" t="s">
        <v>90</v>
      </c>
      <c r="AI59" s="20" t="s">
        <v>90</v>
      </c>
      <c r="AJ59" s="30" t="s">
        <v>90</v>
      </c>
    </row>
    <row r="60" spans="2:36" ht="112" hidden="1" x14ac:dyDescent="0.2">
      <c r="B60" s="20" t="s">
        <v>330</v>
      </c>
      <c r="C60" s="19" t="s">
        <v>42</v>
      </c>
      <c r="D60" s="20" t="s">
        <v>62</v>
      </c>
      <c r="E60" s="20">
        <v>2019</v>
      </c>
      <c r="F60" s="21" t="s">
        <v>44</v>
      </c>
      <c r="G60" s="20" t="s">
        <v>46</v>
      </c>
      <c r="H60" s="19" t="s">
        <v>331</v>
      </c>
      <c r="I60" s="24" t="s">
        <v>332</v>
      </c>
      <c r="J60" s="20" t="s">
        <v>333</v>
      </c>
      <c r="K60" s="20" t="s">
        <v>64</v>
      </c>
      <c r="L60" s="20" t="s">
        <v>48</v>
      </c>
      <c r="M60" s="20" t="s">
        <v>122</v>
      </c>
      <c r="N60" s="20" t="s">
        <v>123</v>
      </c>
      <c r="O60" s="20" t="s">
        <v>124</v>
      </c>
      <c r="P60" s="20" t="s">
        <v>52</v>
      </c>
      <c r="Q60" s="20" t="s">
        <v>60</v>
      </c>
      <c r="R60" s="20" t="s">
        <v>54</v>
      </c>
      <c r="S60" s="26" t="s">
        <v>334</v>
      </c>
      <c r="T60" s="26" t="s">
        <v>335</v>
      </c>
      <c r="U60" s="20" t="s">
        <v>232</v>
      </c>
      <c r="V60" s="20" t="s">
        <v>257</v>
      </c>
      <c r="W60" s="21" t="s">
        <v>66</v>
      </c>
      <c r="X60" s="20">
        <v>500</v>
      </c>
      <c r="Y60" s="19" t="s">
        <v>58</v>
      </c>
      <c r="Z60" s="20" t="s">
        <v>59</v>
      </c>
      <c r="AA60" s="20">
        <v>0</v>
      </c>
      <c r="AB60" s="20">
        <v>215</v>
      </c>
      <c r="AC60" s="20">
        <v>285</v>
      </c>
      <c r="AD60" s="20">
        <v>205</v>
      </c>
      <c r="AE60" s="21">
        <v>295</v>
      </c>
      <c r="AF60" s="20" t="s">
        <v>60</v>
      </c>
      <c r="AG60" s="19" t="s">
        <v>60</v>
      </c>
      <c r="AH60" s="20" t="s">
        <v>60</v>
      </c>
      <c r="AI60" s="20" t="s">
        <v>60</v>
      </c>
      <c r="AJ60" s="30" t="s">
        <v>60</v>
      </c>
    </row>
    <row r="61" spans="2:36" ht="64" hidden="1" x14ac:dyDescent="0.2">
      <c r="B61" s="20" t="s">
        <v>336</v>
      </c>
      <c r="C61" s="19" t="s">
        <v>42</v>
      </c>
      <c r="D61" s="20" t="s">
        <v>62</v>
      </c>
      <c r="E61" s="20">
        <v>2020</v>
      </c>
      <c r="F61" s="21" t="s">
        <v>337</v>
      </c>
      <c r="G61" s="20" t="s">
        <v>46</v>
      </c>
      <c r="H61" s="19"/>
      <c r="I61" s="20" t="s">
        <v>156</v>
      </c>
      <c r="J61" s="20"/>
      <c r="K61" s="20" t="s">
        <v>64</v>
      </c>
      <c r="L61" s="20" t="s">
        <v>48</v>
      </c>
      <c r="M61" s="20" t="s">
        <v>338</v>
      </c>
      <c r="N61" s="20" t="s">
        <v>339</v>
      </c>
      <c r="O61" s="20" t="s">
        <v>46</v>
      </c>
      <c r="P61" s="20" t="s">
        <v>52</v>
      </c>
      <c r="Q61" s="20" t="s">
        <v>46</v>
      </c>
      <c r="R61" s="20" t="s">
        <v>46</v>
      </c>
      <c r="S61" s="26" t="s">
        <v>46</v>
      </c>
      <c r="T61" s="26" t="s">
        <v>46</v>
      </c>
      <c r="U61" s="20" t="s">
        <v>46</v>
      </c>
      <c r="V61" s="20" t="s">
        <v>46</v>
      </c>
      <c r="W61" s="21" t="s">
        <v>66</v>
      </c>
      <c r="X61" s="20">
        <v>478</v>
      </c>
      <c r="Y61" s="19" t="s">
        <v>89</v>
      </c>
      <c r="Z61" s="20" t="s">
        <v>59</v>
      </c>
      <c r="AA61" s="20" t="s">
        <v>90</v>
      </c>
      <c r="AB61" s="20" t="s">
        <v>90</v>
      </c>
      <c r="AC61" s="20" t="s">
        <v>90</v>
      </c>
      <c r="AD61" s="20" t="s">
        <v>90</v>
      </c>
      <c r="AE61" s="21">
        <v>311</v>
      </c>
      <c r="AF61" s="20" t="s">
        <v>90</v>
      </c>
      <c r="AG61" s="19" t="s">
        <v>90</v>
      </c>
      <c r="AH61" s="20" t="s">
        <v>90</v>
      </c>
      <c r="AI61" s="20" t="s">
        <v>90</v>
      </c>
      <c r="AJ61" s="30" t="s">
        <v>90</v>
      </c>
    </row>
    <row r="62" spans="2:36" ht="96" hidden="1" x14ac:dyDescent="0.2">
      <c r="B62" s="20" t="s">
        <v>340</v>
      </c>
      <c r="C62" s="19" t="s">
        <v>42</v>
      </c>
      <c r="D62" s="20" t="s">
        <v>62</v>
      </c>
      <c r="E62" s="20">
        <v>2020</v>
      </c>
      <c r="F62" s="21" t="s">
        <v>337</v>
      </c>
      <c r="G62" s="20" t="s">
        <v>341</v>
      </c>
      <c r="H62" s="19" t="s">
        <v>342</v>
      </c>
      <c r="I62" s="24" t="s">
        <v>343</v>
      </c>
      <c r="J62" s="20">
        <v>21255828</v>
      </c>
      <c r="K62" s="20" t="s">
        <v>64</v>
      </c>
      <c r="L62" s="20" t="s">
        <v>48</v>
      </c>
      <c r="M62" s="20" t="s">
        <v>344</v>
      </c>
      <c r="N62" s="20" t="s">
        <v>345</v>
      </c>
      <c r="O62" s="20" t="s">
        <v>346</v>
      </c>
      <c r="P62" s="20" t="s">
        <v>52</v>
      </c>
      <c r="Q62" s="20" t="s">
        <v>60</v>
      </c>
      <c r="R62" s="20" t="s">
        <v>54</v>
      </c>
      <c r="S62" s="31" t="s">
        <v>347</v>
      </c>
      <c r="T62" s="26" t="s">
        <v>308</v>
      </c>
      <c r="U62" s="20" t="s">
        <v>65</v>
      </c>
      <c r="V62" s="20" t="s">
        <v>141</v>
      </c>
      <c r="W62" s="21" t="s">
        <v>66</v>
      </c>
      <c r="X62" s="20">
        <v>500</v>
      </c>
      <c r="Y62" s="19" t="s">
        <v>58</v>
      </c>
      <c r="Z62" s="20" t="s">
        <v>59</v>
      </c>
      <c r="AA62" s="20">
        <v>0</v>
      </c>
      <c r="AB62" s="20">
        <v>119</v>
      </c>
      <c r="AC62" s="20">
        <v>381</v>
      </c>
      <c r="AD62" s="20">
        <v>172</v>
      </c>
      <c r="AE62" s="21">
        <v>328</v>
      </c>
      <c r="AF62" s="20" t="s">
        <v>60</v>
      </c>
      <c r="AG62" s="19" t="s">
        <v>60</v>
      </c>
      <c r="AH62" s="20" t="s">
        <v>60</v>
      </c>
      <c r="AI62" s="20" t="s">
        <v>60</v>
      </c>
      <c r="AJ62" s="30" t="s">
        <v>60</v>
      </c>
    </row>
  </sheetData>
  <mergeCells count="4">
    <mergeCell ref="B3:F3"/>
    <mergeCell ref="G3:W3"/>
    <mergeCell ref="X3:AE3"/>
    <mergeCell ref="AF3:AJ3"/>
  </mergeCells>
  <hyperlinks>
    <hyperlink ref="I7" r:id="rId1" xr:uid="{7709CEB5-BA5B-ED4E-8654-313EBB8B2E43}"/>
    <hyperlink ref="I8" r:id="rId2" xr:uid="{09998980-C4BE-6D41-A8DA-0B8099A4F46C}"/>
    <hyperlink ref="I10" r:id="rId3" xr:uid="{CDC4BDD3-1D1B-1249-9E29-8C8162ADF44F}"/>
    <hyperlink ref="I11" r:id="rId4" xr:uid="{51C88515-D0F4-DC46-B7AA-12E677091687}"/>
    <hyperlink ref="I12" r:id="rId5" xr:uid="{59E7DC0E-D725-DF42-B49C-93E66123DBF3}"/>
    <hyperlink ref="I14" r:id="rId6" xr:uid="{6B84AA90-FEBC-6841-88C7-D8D5F37F0724}"/>
    <hyperlink ref="I15" r:id="rId7" xr:uid="{4FEC3395-29A6-BA4B-AFBE-418DCA71F2B9}"/>
    <hyperlink ref="I16" r:id="rId8" display="https://doi.org/10.1016/j.meegid.2006.08.005%2520%7C%252010.1016/j.micinf.2007.01.009%2520%7C%252010.1016/j.trstmh.2009.08.002%2520%7C%252010.1101/gr.123430.111%7C%252010.7554/elife.12613%2520%7C%252010.1371/journal.pntd.0005420%2520%7C%252010.1016/j.meegid.2018.04.021" xr:uid="{CB30FDF0-732F-104A-82C9-82D88C427D7B}"/>
    <hyperlink ref="I18" r:id="rId9" xr:uid="{882D323E-F67D-CD46-AB55-DEB7C57C9D6B}"/>
    <hyperlink ref="I19" r:id="rId10" xr:uid="{3962DE74-9152-9946-8461-AC56D71C648C}"/>
    <hyperlink ref="I20" r:id="rId11" xr:uid="{4468273D-57CA-3D46-9B6D-6D0E15A3A91F}"/>
    <hyperlink ref="I22" r:id="rId12" xr:uid="{908AB797-AE08-F14D-89D7-2F5853608722}"/>
    <hyperlink ref="I23" r:id="rId13" xr:uid="{0BDCB4C5-BCAF-E04E-8524-34E4B4892717}"/>
    <hyperlink ref="I24" r:id="rId14" xr:uid="{28B9770E-81B7-1D40-ADFC-FA3D76B8F696}"/>
    <hyperlink ref="I25" r:id="rId15" xr:uid="{9F57CEB9-48CA-1648-9272-B42CB6240ECA}"/>
    <hyperlink ref="I26" r:id="rId16" xr:uid="{1976D14A-DBD9-C943-BA3F-5AD69C951D3B}"/>
    <hyperlink ref="I29" r:id="rId17" xr:uid="{0CB10A15-BE97-2B4B-949A-57592ADC0D3C}"/>
    <hyperlink ref="I34" r:id="rId18" xr:uid="{372EAE07-210B-A842-8C04-0678CA8D26AF}"/>
    <hyperlink ref="I35" r:id="rId19" xr:uid="{1CD432A8-0C4E-444C-BB85-7F9CF1EF5FA7}"/>
    <hyperlink ref="I36" r:id="rId20" xr:uid="{88D7FF35-B873-FB49-9825-466D216CE176}"/>
    <hyperlink ref="I39" r:id="rId21" xr:uid="{F5C56777-A232-5845-A700-49167DE54628}"/>
    <hyperlink ref="I41" r:id="rId22" xr:uid="{021E462A-7F98-4E43-A53A-B62FE5E3D6C6}"/>
    <hyperlink ref="I42" r:id="rId23" xr:uid="{F191CEC0-2146-3842-8E65-0D4BD51B23CB}"/>
    <hyperlink ref="I44" r:id="rId24" xr:uid="{466EF2B5-3FF0-3F48-AA02-9A4678DAD3B8}"/>
    <hyperlink ref="I47" r:id="rId25" xr:uid="{F1D89D6C-62FF-EA4B-A49F-602BF0C8232F}"/>
    <hyperlink ref="I49" r:id="rId26" xr:uid="{A5E2C966-DD08-F340-AB93-8B1C4612C863}"/>
    <hyperlink ref="I51" r:id="rId27" xr:uid="{3E986A54-6B0C-A140-A3B5-A4F70A45C498}"/>
    <hyperlink ref="I52" r:id="rId28" xr:uid="{20C5D9B7-1C4D-E246-BAD1-24DCA132B8DF}"/>
    <hyperlink ref="I55" r:id="rId29" xr:uid="{C7116000-FC98-4242-902C-6E327C894F94}"/>
    <hyperlink ref="I56" r:id="rId30" xr:uid="{C6E8ADBC-AD11-A249-AECD-49F4F7588BB0}"/>
    <hyperlink ref="I57" r:id="rId31" xr:uid="{FD7CDB0B-A9F7-444A-82DA-5570D923AB09}"/>
    <hyperlink ref="I58" r:id="rId32" xr:uid="{4ED18104-EAAF-734E-936F-4B90E8DFFCBC}"/>
    <hyperlink ref="I60" r:id="rId33" display="https://doi.org/10.1093/cid/cis474%2520%7C" xr:uid="{B0D9A361-F559-0B49-835D-B4B9F03D6046}"/>
    <hyperlink ref="I62" r:id="rId34" xr:uid="{F51D2640-E775-624E-8C5B-96839A15C9A5}"/>
  </hyperlinks>
  <pageMargins left="0.7" right="0.7" top="0.75" bottom="0.75" header="0.3" footer="0.3"/>
  <pageSetup paperSize="9" orientation="portrait" r:id="rId35"/>
  <drawing r:id="rId36"/>
  <tableParts count="1">
    <tablePart r:id="rId3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EBC0EE6-A4F4-4910-9EB5-B0304952399D}">
  <ds:schemaRefs/>
</ds:datastoreItem>
</file>

<file path=customXml/itemProps2.xml><?xml version="1.0" encoding="utf-8"?>
<ds:datastoreItem xmlns:ds="http://schemas.openxmlformats.org/officeDocument/2006/customXml" ds:itemID="{36378FB7-56CC-4605-933F-A729910BA965}">
  <ds:schemaRefs/>
</ds:datastoreItem>
</file>

<file path=customXml/itemProps3.xml><?xml version="1.0" encoding="utf-8"?>
<ds:datastoreItem xmlns:ds="http://schemas.openxmlformats.org/officeDocument/2006/customXml" ds:itemID="{537012A6-9A3E-4472-8492-88A82A52C38A}">
  <ds:schemaRefs/>
</ds:datastoreItem>
</file>

<file path=customXml/itemProps4.xml><?xml version="1.0" encoding="utf-8"?>
<ds:datastoreItem xmlns:ds="http://schemas.openxmlformats.org/officeDocument/2006/customXml" ds:itemID="{B9760C1C-274D-443A-A957-3C7E22D03A1E}">
  <ds:schemaRefs/>
</ds:datastoreItem>
</file>

<file path=customXml/itemProps5.xml><?xml version="1.0" encoding="utf-8"?>
<ds:datastoreItem xmlns:ds="http://schemas.openxmlformats.org/officeDocument/2006/customXml" ds:itemID="{DA657024-7251-4CF4-A928-FF7DE62FD489}">
  <ds:schemaRefs/>
</ds:datastoreItem>
</file>

<file path=customXml/itemProps6.xml><?xml version="1.0" encoding="utf-8"?>
<ds:datastoreItem xmlns:ds="http://schemas.openxmlformats.org/officeDocument/2006/customXml" ds:itemID="{74A75E7E-E3F2-4260-8FDC-BAD1648E7027}">
  <ds:schemaRefs/>
</ds:datastoreItem>
</file>

<file path=customXml/itemProps7.xml><?xml version="1.0" encoding="utf-8"?>
<ds:datastoreItem xmlns:ds="http://schemas.openxmlformats.org/officeDocument/2006/customXml" ds:itemID="{EB8541EB-BFDA-4D87-B4EE-089C1AC4A417}">
  <ds:schemaRefs/>
</ds:datastoreItem>
</file>

<file path=customXml/itemProps8.xml><?xml version="1.0" encoding="utf-8"?>
<ds:datastoreItem xmlns:ds="http://schemas.openxmlformats.org/officeDocument/2006/customXml" ds:itemID="{BBC99787-BE5E-4FEF-9224-BD38CE8D1D89}">
  <ds:schemaRefs/>
</ds:datastoreItem>
</file>

<file path=customXml/itemProps9.xml><?xml version="1.0" encoding="utf-8"?>
<ds:datastoreItem xmlns:ds="http://schemas.openxmlformats.org/officeDocument/2006/customXml" ds:itemID="{952BDA42-DFFE-40B4-B730-6F95DDB429B9}">
  <ds:schemaRefs/>
</ds:datastoreItem>
</file>

<file path=customXml/itemProps10.xml><?xml version="1.0" encoding="utf-8"?>
<ds:datastoreItem xmlns:ds="http://schemas.openxmlformats.org/officeDocument/2006/customXml" ds:itemID="{9EBE6B8D-AC03-4F8F-8CA9-64442CEC3BCD}">
  <ds:schemaRefs>
    <ds:schemaRef ds:uri="http://schemas.microsoft.com/DataMashup"/>
  </ds:schemaRefs>
</ds:datastoreItem>
</file>

<file path=customXml/itemProps11.xml><?xml version="1.0" encoding="utf-8"?>
<ds:datastoreItem xmlns:ds="http://schemas.openxmlformats.org/officeDocument/2006/customXml" ds:itemID="{CB2A0207-4866-4122-BED4-FE944F9F6E06}">
  <ds:schemaRefs/>
</ds:datastoreItem>
</file>

<file path=customXml/itemProps12.xml><?xml version="1.0" encoding="utf-8"?>
<ds:datastoreItem xmlns:ds="http://schemas.openxmlformats.org/officeDocument/2006/customXml" ds:itemID="{0426F7CB-99DB-4182-BD34-7DE202069CFB}">
  <ds:schemaRefs/>
</ds:datastoreItem>
</file>

<file path=customXml/itemProps13.xml><?xml version="1.0" encoding="utf-8"?>
<ds:datastoreItem xmlns:ds="http://schemas.openxmlformats.org/officeDocument/2006/customXml" ds:itemID="{A18C15B8-C136-4516-91A4-FC2D25A54B10}">
  <ds:schemaRefs/>
</ds:datastoreItem>
</file>

<file path=customXml/itemProps14.xml><?xml version="1.0" encoding="utf-8"?>
<ds:datastoreItem xmlns:ds="http://schemas.openxmlformats.org/officeDocument/2006/customXml" ds:itemID="{C5993817-92A1-4DEA-988B-67B447B5CCBF}">
  <ds:schemaRefs/>
</ds:datastoreItem>
</file>

<file path=customXml/itemProps15.xml><?xml version="1.0" encoding="utf-8"?>
<ds:datastoreItem xmlns:ds="http://schemas.openxmlformats.org/officeDocument/2006/customXml" ds:itemID="{95CB2E17-F7F8-4C05-B8E2-69BD6ADEF2AA}">
  <ds:schemaRefs/>
</ds:datastoreItem>
</file>

<file path=customXml/itemProps16.xml><?xml version="1.0" encoding="utf-8"?>
<ds:datastoreItem xmlns:ds="http://schemas.openxmlformats.org/officeDocument/2006/customXml" ds:itemID="{2BFC47BA-F1F3-49C6-AC31-29C532DF4795}">
  <ds:schemaRefs/>
</ds:datastoreItem>
</file>

<file path=customXml/itemProps17.xml><?xml version="1.0" encoding="utf-8"?>
<ds:datastoreItem xmlns:ds="http://schemas.openxmlformats.org/officeDocument/2006/customXml" ds:itemID="{4DA99E15-FAE0-43C3-AC78-8AA8F0E18EB8}">
  <ds:schemaRefs/>
</ds:datastoreItem>
</file>

<file path=customXml/itemProps18.xml><?xml version="1.0" encoding="utf-8"?>
<ds:datastoreItem xmlns:ds="http://schemas.openxmlformats.org/officeDocument/2006/customXml" ds:itemID="{9F535B36-8A10-488B-BB5F-F5AEF7A726AD}">
  <ds:schemaRefs/>
</ds:datastoreItem>
</file>

<file path=customXml/itemProps19.xml><?xml version="1.0" encoding="utf-8"?>
<ds:datastoreItem xmlns:ds="http://schemas.openxmlformats.org/officeDocument/2006/customXml" ds:itemID="{89B6BAC4-AF66-47B9-9D94-C2A86C0C4A2A}">
  <ds:schemaRefs/>
</ds:datastoreItem>
</file>

<file path=customXml/itemProps20.xml><?xml version="1.0" encoding="utf-8"?>
<ds:datastoreItem xmlns:ds="http://schemas.openxmlformats.org/officeDocument/2006/customXml" ds:itemID="{931F8F66-B7E7-4557-B638-4535F08D983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Study design</vt:lpstr>
      <vt:lpstr>Study outcome</vt:lpstr>
      <vt:lpstr>Risk of bias</vt:lpstr>
      <vt:lpstr>Participant characteristics1</vt:lpstr>
      <vt:lpstr>Participant characteristics2</vt:lpstr>
      <vt:lpstr>Dictionaries</vt:lpstr>
      <vt:lpstr>VL Data Repository Dec 2023</vt:lpstr>
      <vt:lpstr>Characteristics_list</vt:lpstr>
      <vt:lpstr>Drugs_list</vt:lpstr>
      <vt:lpstr>Timepoint_list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James (BLACKPOOL TEACHING HOSPITALS NHS FOUNDATION TRUST)</dc:creator>
  <cp:lastModifiedBy>James Wilson</cp:lastModifiedBy>
  <dcterms:created xsi:type="dcterms:W3CDTF">2024-03-04T13:50:24Z</dcterms:created>
  <dcterms:modified xsi:type="dcterms:W3CDTF">2026-01-17T11:22:10Z</dcterms:modified>
</cp:coreProperties>
</file>